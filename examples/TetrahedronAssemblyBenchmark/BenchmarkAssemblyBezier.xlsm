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hdeling\SOFA\SOFA-HighOrder\examples\TetrahedronAssemblyBenchmark\"/>
    </mc:Choice>
  </mc:AlternateContent>
  <bookViews>
    <workbookView xWindow="0" yWindow="0" windowWidth="13575" windowHeight="6510" activeTab="1"/>
  </bookViews>
  <sheets>
    <sheet name="Import" sheetId="1" r:id="rId1"/>
    <sheet name="Integration Method" sheetId="2" r:id="rId2"/>
    <sheet name="Lagrange" sheetId="3" r:id="rId3"/>
  </sheets>
  <definedNames>
    <definedName name="_xlnm._FilterDatabase" localSheetId="0" hidden="1">Import!$B$6:$L$27</definedName>
    <definedName name="IntegrationMethods">Import!$S$7:$S$9</definedName>
    <definedName name="MassIntegrationMethods">Import!$U$7:$U$9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17" i="3" l="1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B28" i="2" l="1"/>
  <c r="B27" i="2"/>
  <c r="G6" i="2"/>
  <c r="L117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A9" i="2"/>
  <c r="L22" i="1" l="1"/>
  <c r="L23" i="1"/>
  <c r="L24" i="1"/>
  <c r="G7" i="2"/>
  <c r="L9" i="1" l="1"/>
  <c r="L27" i="1"/>
  <c r="L10" i="1"/>
  <c r="L28" i="1"/>
  <c r="L11" i="1"/>
  <c r="L29" i="1"/>
  <c r="L12" i="1"/>
  <c r="L30" i="1"/>
  <c r="L13" i="1"/>
  <c r="L31" i="1"/>
  <c r="L14" i="1"/>
  <c r="L32" i="1"/>
  <c r="L15" i="1"/>
  <c r="L33" i="1"/>
  <c r="L16" i="1"/>
  <c r="L34" i="1"/>
  <c r="L17" i="1"/>
  <c r="L35" i="1"/>
  <c r="L18" i="1"/>
  <c r="L19" i="1"/>
  <c r="L20" i="1"/>
  <c r="L21" i="1"/>
  <c r="L7" i="1"/>
  <c r="L8" i="1"/>
  <c r="L26" i="1"/>
  <c r="L25" i="1"/>
</calcChain>
</file>

<file path=xl/sharedStrings.xml><?xml version="1.0" encoding="utf-8"?>
<sst xmlns="http://schemas.openxmlformats.org/spreadsheetml/2006/main" count="603" uniqueCount="26">
  <si>
    <t>analytical</t>
  </si>
  <si>
    <t>Degree</t>
  </si>
  <si>
    <t>Number of runs</t>
  </si>
  <si>
    <t>Resolution</t>
  </si>
  <si>
    <t>Force Field Type</t>
  </si>
  <si>
    <t>Integration Method</t>
  </si>
  <si>
    <t>Numerical integration Order</t>
  </si>
  <si>
    <t>Mean Assembly time</t>
  </si>
  <si>
    <t>Min Assembly Time</t>
  </si>
  <si>
    <t>Number of elements</t>
  </si>
  <si>
    <t>Number of points</t>
  </si>
  <si>
    <t>Average assembly speed</t>
  </si>
  <si>
    <t>standard</t>
  </si>
  <si>
    <t>numerical</t>
  </si>
  <si>
    <t>elasticityTetra</t>
  </si>
  <si>
    <t>diffusionTrian</t>
  </si>
  <si>
    <t>diffusionTetra</t>
  </si>
  <si>
    <t>elasticityTrian</t>
  </si>
  <si>
    <t>diffusionTrianAniso</t>
  </si>
  <si>
    <t>diffusionTetraAniso</t>
  </si>
  <si>
    <t>massTetra</t>
  </si>
  <si>
    <t>massTrian</t>
  </si>
  <si>
    <t>exact</t>
  </si>
  <si>
    <t>massTetraLumped</t>
  </si>
  <si>
    <t>massTrianLumped</t>
  </si>
  <si>
    <t>Lagrange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</si>
</sst>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'Integration Method'!$E$11:$E$20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</c:numCache>
            </c:numRef>
          </c:xVal>
          <c:yVal>
            <c:numRef>
              <c:f>'Integration Method'!$F$11:$F$20</c:f>
              <c:numCache>
                <c:formatCode>General</c:formatCode>
                <c:ptCount val="10"/>
                <c:pt idx="0">
                  <c:v>5.1962626611944449E-5</c:v>
                </c:pt>
                <c:pt idx="1">
                  <c:v>5.288129121583334E-5</c:v>
                </c:pt>
                <c:pt idx="2">
                  <c:v>5.3830125428968255E-5</c:v>
                </c:pt>
                <c:pt idx="3">
                  <c:v>5.698641967333333E-5</c:v>
                </c:pt>
                <c:pt idx="4">
                  <c:v>6.5585741127272728E-5</c:v>
                </c:pt>
                <c:pt idx="5">
                  <c:v>7.3915310759768016E-5</c:v>
                </c:pt>
                <c:pt idx="6">
                  <c:v>8.533398572103174E-5</c:v>
                </c:pt>
                <c:pt idx="7">
                  <c:v>9.5320045066176474E-5</c:v>
                </c:pt>
                <c:pt idx="8">
                  <c:v>1.1293694728557505E-4</c:v>
                </c:pt>
                <c:pt idx="9">
                  <c:v>1.3103141298701298E-4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652128"/>
        <c:axId val="1912652672"/>
      </c:scatterChart>
      <c:valAx>
        <c:axId val="191265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2652672"/>
        <c:crosses val="autoZero"/>
        <c:crossBetween val="midCat"/>
      </c:valAx>
      <c:valAx>
        <c:axId val="191265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2652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'Integration Method'!$B$5:$C$7</c:f>
              <c:multiLvlStrCache>
                <c:ptCount val="3"/>
                <c:lvl>
                  <c:pt idx="0">
                    <c:v>standard</c:v>
                  </c:pt>
                  <c:pt idx="1">
                    <c:v>numerical</c:v>
                  </c:pt>
                  <c:pt idx="2">
                    <c:v>analytical</c:v>
                  </c:pt>
                </c:lvl>
                <c:lvl>
                  <c:pt idx="0">
                    <c:v>elasticityTetra</c:v>
                  </c:pt>
                  <c:pt idx="1">
                    <c:v>elasticityTetra</c:v>
                  </c:pt>
                  <c:pt idx="2">
                    <c:v>elasticityTetra</c:v>
                  </c:pt>
                </c:lvl>
              </c:multiLvlStrCache>
            </c:multiLvlStrRef>
          </c:cat>
          <c:val>
            <c:numRef>
              <c:f>'Integration Method'!$E$5:$E$7</c:f>
              <c:numCache>
                <c:formatCode>General</c:formatCode>
                <c:ptCount val="3"/>
                <c:pt idx="0">
                  <c:v>0.31776399999999999</c:v>
                </c:pt>
                <c:pt idx="1">
                  <c:v>0.16125500000000001</c:v>
                </c:pt>
                <c:pt idx="2">
                  <c:v>5.7546E-2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2642880"/>
        <c:axId val="19126434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'Integration Method'!$B$5:$C$7</c15:sqref>
                        </c15:formulaRef>
                      </c:ext>
                    </c:extLst>
                    <c:multiLvlStrCache>
                      <c:ptCount val="3"/>
                      <c:lvl>
                        <c:pt idx="0">
                          <c:v>standard</c:v>
                        </c:pt>
                        <c:pt idx="1">
                          <c:v>numerical</c:v>
                        </c:pt>
                        <c:pt idx="2">
                          <c:v>analytical</c:v>
                        </c:pt>
                      </c:lvl>
                      <c:lvl>
                        <c:pt idx="0">
                          <c:v>elasticityTetra</c:v>
                        </c:pt>
                        <c:pt idx="1">
                          <c:v>elasticityTetra</c:v>
                        </c:pt>
                        <c:pt idx="2">
                          <c:v>elasticityTetra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'Integration Method'!$D$5:$D$7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</c:v>
                      </c:pt>
                      <c:pt idx="1">
                        <c:v>2</c:v>
                      </c:pt>
                      <c:pt idx="2">
                        <c:v>2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912642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2643424"/>
        <c:crosses val="autoZero"/>
        <c:auto val="1"/>
        <c:lblAlgn val="ctr"/>
        <c:lblOffset val="100"/>
        <c:noMultiLvlLbl val="0"/>
      </c:catAx>
      <c:valAx>
        <c:axId val="191264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264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142874</xdr:colOff>
          <xdr:row>3</xdr:row>
          <xdr:rowOff>142874</xdr:rowOff>
        </xdr:from>
        <xdr:to>
          <xdr:col>10</xdr:col>
          <xdr:colOff>295274</xdr:colOff>
          <xdr:row>3</xdr:row>
          <xdr:rowOff>609599</xdr:rowOff>
        </xdr:to>
        <xdr:sp macro="" textlink="">
          <xdr:nvSpPr>
            <xdr:cNvPr id="1033" name="ComboBox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923925</xdr:colOff>
          <xdr:row>3</xdr:row>
          <xdr:rowOff>209550</xdr:rowOff>
        </xdr:from>
        <xdr:to>
          <xdr:col>7</xdr:col>
          <xdr:colOff>247650</xdr:colOff>
          <xdr:row>3</xdr:row>
          <xdr:rowOff>457200</xdr:rowOff>
        </xdr:to>
        <xdr:sp macro="" textlink="">
          <xdr:nvSpPr>
            <xdr:cNvPr id="1032" name="ComboBox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971550</xdr:colOff>
          <xdr:row>0</xdr:row>
          <xdr:rowOff>95250</xdr:rowOff>
        </xdr:from>
        <xdr:to>
          <xdr:col>11</xdr:col>
          <xdr:colOff>133350</xdr:colOff>
          <xdr:row>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Compare Stiffness integration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19050</xdr:rowOff>
        </xdr:from>
        <xdr:to>
          <xdr:col>5</xdr:col>
          <xdr:colOff>714375</xdr:colOff>
          <xdr:row>2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3</xdr:row>
          <xdr:rowOff>66675</xdr:rowOff>
        </xdr:from>
        <xdr:to>
          <xdr:col>7</xdr:col>
          <xdr:colOff>552450</xdr:colOff>
          <xdr:row>3</xdr:row>
          <xdr:rowOff>561975</xdr:rowOff>
        </xdr:to>
        <xdr:sp macro="" textlink="">
          <xdr:nvSpPr>
            <xdr:cNvPr id="1035" name="Group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Degree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790575</xdr:colOff>
          <xdr:row>3</xdr:row>
          <xdr:rowOff>9525</xdr:rowOff>
        </xdr:from>
        <xdr:to>
          <xdr:col>10</xdr:col>
          <xdr:colOff>504825</xdr:colOff>
          <xdr:row>3</xdr:row>
          <xdr:rowOff>676275</xdr:rowOff>
        </xdr:to>
        <xdr:sp macro="" textlink="">
          <xdr:nvSpPr>
            <xdr:cNvPr id="1036" name="Group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Component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485775</xdr:colOff>
          <xdr:row>0</xdr:row>
          <xdr:rowOff>114300</xdr:rowOff>
        </xdr:from>
        <xdr:to>
          <xdr:col>17</xdr:col>
          <xdr:colOff>590550</xdr:colOff>
          <xdr:row>2</xdr:row>
          <xdr:rowOff>38100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Compare Mass integration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381000</xdr:colOff>
          <xdr:row>3</xdr:row>
          <xdr:rowOff>200024</xdr:rowOff>
        </xdr:from>
        <xdr:to>
          <xdr:col>14</xdr:col>
          <xdr:colOff>238125</xdr:colOff>
          <xdr:row>3</xdr:row>
          <xdr:rowOff>476249</xdr:rowOff>
        </xdr:to>
        <xdr:sp macro="" textlink="">
          <xdr:nvSpPr>
            <xdr:cNvPr id="1039" name="ComboBox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</xdr:row>
          <xdr:rowOff>57150</xdr:rowOff>
        </xdr:from>
        <xdr:to>
          <xdr:col>14</xdr:col>
          <xdr:colOff>466725</xdr:colOff>
          <xdr:row>3</xdr:row>
          <xdr:rowOff>552450</xdr:rowOff>
        </xdr:to>
        <xdr:sp macro="" textlink="">
          <xdr:nvSpPr>
            <xdr:cNvPr id="1040" name="Group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Degree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314325</xdr:colOff>
          <xdr:row>3</xdr:row>
          <xdr:rowOff>152399</xdr:rowOff>
        </xdr:from>
        <xdr:to>
          <xdr:col>17</xdr:col>
          <xdr:colOff>733425</xdr:colOff>
          <xdr:row>3</xdr:row>
          <xdr:rowOff>561974</xdr:rowOff>
        </xdr:to>
        <xdr:sp macro="" textlink="">
          <xdr:nvSpPr>
            <xdr:cNvPr id="1041" name="ComboBox4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133350</xdr:colOff>
          <xdr:row>3</xdr:row>
          <xdr:rowOff>0</xdr:rowOff>
        </xdr:from>
        <xdr:to>
          <xdr:col>17</xdr:col>
          <xdr:colOff>942975</xdr:colOff>
          <xdr:row>3</xdr:row>
          <xdr:rowOff>666750</xdr:rowOff>
        </xdr:to>
        <xdr:sp macro="" textlink="">
          <xdr:nvSpPr>
            <xdr:cNvPr id="1042" name="Group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Component Type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15</xdr:row>
      <xdr:rowOff>157162</xdr:rowOff>
    </xdr:from>
    <xdr:to>
      <xdr:col>19</xdr:col>
      <xdr:colOff>352425</xdr:colOff>
      <xdr:row>30</xdr:row>
      <xdr:rowOff>42862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352425</xdr:colOff>
      <xdr:row>0</xdr:row>
      <xdr:rowOff>90487</xdr:rowOff>
    </xdr:from>
    <xdr:to>
      <xdr:col>18</xdr:col>
      <xdr:colOff>47625</xdr:colOff>
      <xdr:row>12</xdr:row>
      <xdr:rowOff>166687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4:U144"/>
  <sheetViews>
    <sheetView topLeftCell="F1" workbookViewId="0">
      <selection activeCell="L4" sqref="L4"/>
    </sheetView>
  </sheetViews>
  <sheetFormatPr defaultRowHeight="15" x14ac:dyDescent="0.25"/>
  <cols>
    <col min="4" max="4" width="10.5703125" style="2" customWidth="1"/>
    <col min="5" max="5" width="19.140625" customWidth="1"/>
    <col min="6" max="6" width="14.42578125" customWidth="1"/>
    <col min="7" max="7" width="16" style="2" customWidth="1"/>
    <col min="8" max="8" width="13.140625" customWidth="1"/>
    <col min="9" max="9" width="12.42578125" customWidth="1"/>
    <col min="12" max="12" width="12" bestFit="1" customWidth="1"/>
    <col min="18" max="18" width="16.28515625" customWidth="1"/>
  </cols>
  <sheetData>
    <row r="4" spans="2:21" ht="76.5" customHeight="1" x14ac:dyDescent="0.25"/>
    <row r="5" spans="2:21" s="1" customFormat="1" ht="78" customHeight="1" x14ac:dyDescent="0.25">
      <c r="B5" s="1" t="s">
        <v>1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  <c r="J5" s="1" t="s">
        <v>9</v>
      </c>
      <c r="K5" s="1" t="s">
        <v>10</v>
      </c>
      <c r="L5" s="1" t="s">
        <v>11</v>
      </c>
    </row>
    <row r="6" spans="2:21" s="1" customFormat="1" ht="21.75" customHeight="1" x14ac:dyDescent="0.25">
      <c r="R6"/>
      <c r="S6"/>
    </row>
    <row r="7" spans="2:21" x14ac:dyDescent="0.25">
      <c r="B7">
        <v>1</v>
      </c>
      <c r="C7">
        <v>6</v>
      </c>
      <c r="D7" s="2">
        <v>24</v>
      </c>
      <c r="E7" t="s">
        <v>20</v>
      </c>
      <c r="F7" t="s">
        <v>13</v>
      </c>
      <c r="G7" s="2">
        <v>1</v>
      </c>
      <c r="H7">
        <v>6.0453333333299997E-2</v>
      </c>
      <c r="I7" s="3">
        <v>6.0227999999999997E-2</v>
      </c>
      <c r="J7">
        <v>155664</v>
      </c>
      <c r="K7">
        <v>27672</v>
      </c>
      <c r="L7">
        <f t="shared" ref="L7:L21" si="0">I7/J7</f>
        <v>3.8691026827012022E-7</v>
      </c>
      <c r="Q7">
        <v>1</v>
      </c>
      <c r="R7" t="s">
        <v>14</v>
      </c>
      <c r="S7" t="s">
        <v>12</v>
      </c>
      <c r="T7" t="s">
        <v>20</v>
      </c>
      <c r="U7" t="s">
        <v>13</v>
      </c>
    </row>
    <row r="8" spans="2:21" x14ac:dyDescent="0.25">
      <c r="B8">
        <v>2</v>
      </c>
      <c r="C8">
        <v>6</v>
      </c>
      <c r="D8" s="2">
        <v>12</v>
      </c>
      <c r="E8" t="s">
        <v>20</v>
      </c>
      <c r="F8" t="s">
        <v>13</v>
      </c>
      <c r="G8" s="2">
        <v>4</v>
      </c>
      <c r="H8">
        <v>8.1949833333299998E-2</v>
      </c>
      <c r="I8">
        <v>8.1836999999999993E-2</v>
      </c>
      <c r="J8">
        <v>18216</v>
      </c>
      <c r="K8">
        <v>25967</v>
      </c>
      <c r="L8">
        <f t="shared" si="0"/>
        <v>4.4925889328063238E-6</v>
      </c>
      <c r="Q8">
        <v>2</v>
      </c>
      <c r="R8" t="s">
        <v>16</v>
      </c>
      <c r="S8" t="s">
        <v>13</v>
      </c>
      <c r="T8" t="s">
        <v>23</v>
      </c>
      <c r="U8" t="s">
        <v>22</v>
      </c>
    </row>
    <row r="9" spans="2:21" x14ac:dyDescent="0.25">
      <c r="B9">
        <v>3</v>
      </c>
      <c r="C9">
        <v>6</v>
      </c>
      <c r="D9" s="2">
        <v>8</v>
      </c>
      <c r="E9" t="s">
        <v>20</v>
      </c>
      <c r="F9" t="s">
        <v>13</v>
      </c>
      <c r="G9" s="2">
        <v>6</v>
      </c>
      <c r="H9">
        <v>0.106235833333</v>
      </c>
      <c r="I9">
        <v>0.105937</v>
      </c>
      <c r="J9">
        <v>5040</v>
      </c>
      <c r="K9">
        <v>24310</v>
      </c>
      <c r="L9">
        <f t="shared" si="0"/>
        <v>2.1019246031746032E-5</v>
      </c>
      <c r="Q9">
        <v>3</v>
      </c>
      <c r="R9" t="s">
        <v>17</v>
      </c>
      <c r="S9" t="s">
        <v>0</v>
      </c>
      <c r="T9" t="s">
        <v>21</v>
      </c>
      <c r="U9" t="s">
        <v>0</v>
      </c>
    </row>
    <row r="10" spans="2:21" x14ac:dyDescent="0.25">
      <c r="B10">
        <v>4</v>
      </c>
      <c r="C10">
        <v>6</v>
      </c>
      <c r="D10" s="2">
        <v>6</v>
      </c>
      <c r="E10" t="s">
        <v>20</v>
      </c>
      <c r="F10" t="s">
        <v>13</v>
      </c>
      <c r="G10" s="2">
        <v>8</v>
      </c>
      <c r="H10">
        <v>0.16409133333299999</v>
      </c>
      <c r="I10">
        <v>0.16048999999999999</v>
      </c>
      <c r="J10">
        <v>1980</v>
      </c>
      <c r="K10">
        <v>22701</v>
      </c>
      <c r="L10">
        <f t="shared" si="0"/>
        <v>8.1055555555555555E-5</v>
      </c>
      <c r="Q10">
        <v>4</v>
      </c>
      <c r="R10" t="s">
        <v>15</v>
      </c>
      <c r="T10" t="s">
        <v>24</v>
      </c>
    </row>
    <row r="11" spans="2:21" x14ac:dyDescent="0.25">
      <c r="B11">
        <v>5</v>
      </c>
      <c r="C11">
        <v>6</v>
      </c>
      <c r="D11" s="2">
        <v>5</v>
      </c>
      <c r="E11" t="s">
        <v>20</v>
      </c>
      <c r="F11" t="s">
        <v>13</v>
      </c>
      <c r="G11" s="2">
        <v>10</v>
      </c>
      <c r="H11">
        <v>0.293256166667</v>
      </c>
      <c r="I11">
        <v>0.29122199999999998</v>
      </c>
      <c r="J11">
        <v>1080</v>
      </c>
      <c r="K11">
        <v>24171</v>
      </c>
      <c r="L11">
        <f t="shared" si="0"/>
        <v>2.6964999999999997E-4</v>
      </c>
      <c r="Q11">
        <v>5</v>
      </c>
      <c r="R11" t="s">
        <v>19</v>
      </c>
    </row>
    <row r="12" spans="2:21" x14ac:dyDescent="0.25">
      <c r="B12">
        <v>2</v>
      </c>
      <c r="C12">
        <v>6</v>
      </c>
      <c r="D12" s="2">
        <v>12</v>
      </c>
      <c r="E12" t="s">
        <v>20</v>
      </c>
      <c r="F12" t="s">
        <v>0</v>
      </c>
      <c r="G12" s="2">
        <v>4</v>
      </c>
      <c r="H12">
        <v>8.94E-3</v>
      </c>
      <c r="I12">
        <v>8.8909999999999996E-3</v>
      </c>
      <c r="J12">
        <v>18216</v>
      </c>
      <c r="K12">
        <v>25967</v>
      </c>
      <c r="L12">
        <f t="shared" si="0"/>
        <v>4.880873956960913E-7</v>
      </c>
      <c r="R12" t="s">
        <v>18</v>
      </c>
    </row>
    <row r="13" spans="2:21" x14ac:dyDescent="0.25">
      <c r="B13">
        <v>3</v>
      </c>
      <c r="C13">
        <v>6</v>
      </c>
      <c r="D13" s="2">
        <v>8</v>
      </c>
      <c r="E13" t="s">
        <v>20</v>
      </c>
      <c r="F13" t="s">
        <v>0</v>
      </c>
      <c r="G13" s="2">
        <v>6</v>
      </c>
      <c r="H13">
        <v>6.1481666666699996E-3</v>
      </c>
      <c r="I13">
        <v>6.1149999999999998E-3</v>
      </c>
      <c r="J13">
        <v>5040</v>
      </c>
      <c r="K13">
        <v>24310</v>
      </c>
      <c r="L13">
        <f t="shared" si="0"/>
        <v>1.2132936507936507E-6</v>
      </c>
    </row>
    <row r="14" spans="2:21" x14ac:dyDescent="0.25">
      <c r="B14">
        <v>4</v>
      </c>
      <c r="C14">
        <v>6</v>
      </c>
      <c r="D14" s="2">
        <v>6</v>
      </c>
      <c r="E14" t="s">
        <v>20</v>
      </c>
      <c r="F14" t="s">
        <v>0</v>
      </c>
      <c r="G14" s="2">
        <v>8</v>
      </c>
      <c r="H14">
        <v>5.3116666666700001E-3</v>
      </c>
      <c r="I14">
        <v>5.2810000000000001E-3</v>
      </c>
      <c r="J14">
        <v>1980</v>
      </c>
      <c r="K14">
        <v>22701</v>
      </c>
      <c r="L14">
        <f t="shared" si="0"/>
        <v>2.6671717171717171E-6</v>
      </c>
    </row>
    <row r="15" spans="2:21" x14ac:dyDescent="0.25">
      <c r="B15">
        <v>5</v>
      </c>
      <c r="C15">
        <v>6</v>
      </c>
      <c r="D15" s="2">
        <v>5</v>
      </c>
      <c r="E15" t="s">
        <v>20</v>
      </c>
      <c r="F15" t="s">
        <v>0</v>
      </c>
      <c r="G15" s="2">
        <v>10</v>
      </c>
      <c r="H15">
        <v>6.57883333333E-3</v>
      </c>
      <c r="I15">
        <v>6.4469999999999996E-3</v>
      </c>
      <c r="J15">
        <v>1080</v>
      </c>
      <c r="K15">
        <v>24171</v>
      </c>
      <c r="L15">
        <f t="shared" si="0"/>
        <v>5.9694444444444439E-6</v>
      </c>
    </row>
    <row r="16" spans="2:21" x14ac:dyDescent="0.25">
      <c r="B16">
        <v>2</v>
      </c>
      <c r="C16">
        <v>6</v>
      </c>
      <c r="D16" s="2">
        <v>12</v>
      </c>
      <c r="E16" t="s">
        <v>20</v>
      </c>
      <c r="F16" t="s">
        <v>22</v>
      </c>
      <c r="G16" s="2">
        <v>4</v>
      </c>
      <c r="H16">
        <v>0.15311250000000001</v>
      </c>
      <c r="I16">
        <v>0.14836299999999999</v>
      </c>
      <c r="J16">
        <v>18216</v>
      </c>
      <c r="K16">
        <v>25967</v>
      </c>
      <c r="L16">
        <f t="shared" si="0"/>
        <v>8.1446530522617481E-6</v>
      </c>
    </row>
    <row r="17" spans="2:12" x14ac:dyDescent="0.25">
      <c r="B17">
        <v>3</v>
      </c>
      <c r="C17">
        <v>6</v>
      </c>
      <c r="D17" s="2">
        <v>8</v>
      </c>
      <c r="E17" t="s">
        <v>20</v>
      </c>
      <c r="F17" t="s">
        <v>22</v>
      </c>
      <c r="G17" s="2">
        <v>6</v>
      </c>
      <c r="H17">
        <v>1.224898</v>
      </c>
      <c r="I17">
        <v>1.1895549999999999</v>
      </c>
      <c r="J17">
        <v>5040</v>
      </c>
      <c r="K17">
        <v>24310</v>
      </c>
      <c r="L17">
        <f t="shared" si="0"/>
        <v>2.3602281746031744E-4</v>
      </c>
    </row>
    <row r="18" spans="2:12" x14ac:dyDescent="0.25">
      <c r="B18">
        <v>1</v>
      </c>
      <c r="C18">
        <v>6</v>
      </c>
      <c r="D18" s="2">
        <v>72</v>
      </c>
      <c r="E18" t="s">
        <v>21</v>
      </c>
      <c r="F18" t="s">
        <v>13</v>
      </c>
      <c r="G18" s="2">
        <v>1</v>
      </c>
      <c r="H18">
        <v>3.1296999999999998E-2</v>
      </c>
      <c r="I18">
        <v>3.1167E-2</v>
      </c>
      <c r="J18">
        <v>41472</v>
      </c>
      <c r="K18">
        <v>21025</v>
      </c>
      <c r="L18">
        <f t="shared" si="0"/>
        <v>7.5151909722222222E-7</v>
      </c>
    </row>
    <row r="19" spans="2:12" x14ac:dyDescent="0.25">
      <c r="B19">
        <v>2</v>
      </c>
      <c r="C19">
        <v>6</v>
      </c>
      <c r="D19" s="2">
        <v>36</v>
      </c>
      <c r="E19" t="s">
        <v>21</v>
      </c>
      <c r="F19" t="s">
        <v>13</v>
      </c>
      <c r="G19" s="2">
        <v>4</v>
      </c>
      <c r="H19">
        <v>1.73251666667E-2</v>
      </c>
      <c r="I19">
        <v>1.7250000000000001E-2</v>
      </c>
      <c r="J19">
        <v>10368</v>
      </c>
      <c r="K19">
        <v>21025</v>
      </c>
      <c r="L19">
        <f t="shared" si="0"/>
        <v>1.6637731481481482E-6</v>
      </c>
    </row>
    <row r="20" spans="2:12" x14ac:dyDescent="0.25">
      <c r="B20">
        <v>3</v>
      </c>
      <c r="C20">
        <v>6</v>
      </c>
      <c r="D20" s="2">
        <v>25</v>
      </c>
      <c r="E20" t="s">
        <v>21</v>
      </c>
      <c r="F20" t="s">
        <v>13</v>
      </c>
      <c r="G20" s="2">
        <v>6</v>
      </c>
      <c r="H20">
        <v>2.3965833333300001E-2</v>
      </c>
      <c r="I20">
        <v>2.3937E-2</v>
      </c>
      <c r="J20">
        <v>5000</v>
      </c>
      <c r="K20">
        <v>22801</v>
      </c>
      <c r="L20">
        <f t="shared" si="0"/>
        <v>4.7874000000000001E-6</v>
      </c>
    </row>
    <row r="21" spans="2:12" x14ac:dyDescent="0.25">
      <c r="B21">
        <v>4</v>
      </c>
      <c r="C21">
        <v>6</v>
      </c>
      <c r="D21" s="2">
        <v>18</v>
      </c>
      <c r="E21" t="s">
        <v>21</v>
      </c>
      <c r="F21" t="s">
        <v>13</v>
      </c>
      <c r="G21" s="2">
        <v>8</v>
      </c>
      <c r="H21">
        <v>2.7256333333299999E-2</v>
      </c>
      <c r="I21">
        <v>2.7150000000000001E-2</v>
      </c>
      <c r="J21">
        <v>2592</v>
      </c>
      <c r="K21">
        <v>21025</v>
      </c>
      <c r="L21">
        <f t="shared" si="0"/>
        <v>1.0474537037037038E-5</v>
      </c>
    </row>
    <row r="22" spans="2:12" x14ac:dyDescent="0.25">
      <c r="B22">
        <v>5</v>
      </c>
      <c r="C22">
        <v>6</v>
      </c>
      <c r="D22" s="2">
        <v>15</v>
      </c>
      <c r="E22" t="s">
        <v>21</v>
      </c>
      <c r="F22" t="s">
        <v>13</v>
      </c>
      <c r="G22" s="2">
        <v>10</v>
      </c>
      <c r="H22">
        <v>4.7120333333299999E-2</v>
      </c>
      <c r="I22">
        <v>4.7056000000000001E-2</v>
      </c>
      <c r="J22">
        <v>1800</v>
      </c>
      <c r="K22">
        <v>22801</v>
      </c>
      <c r="L22">
        <f t="shared" ref="L22:L24" si="1">I22/J22</f>
        <v>2.6142222222222223E-5</v>
      </c>
    </row>
    <row r="23" spans="2:12" x14ac:dyDescent="0.25">
      <c r="B23">
        <v>2</v>
      </c>
      <c r="C23">
        <v>6</v>
      </c>
      <c r="D23" s="2">
        <v>36</v>
      </c>
      <c r="E23" t="s">
        <v>21</v>
      </c>
      <c r="F23" t="s">
        <v>0</v>
      </c>
      <c r="G23" s="2">
        <v>4</v>
      </c>
      <c r="H23">
        <v>7.2878333333300004E-3</v>
      </c>
      <c r="I23">
        <v>7.2370000000000004E-3</v>
      </c>
      <c r="J23">
        <v>10368</v>
      </c>
      <c r="K23">
        <v>21025</v>
      </c>
      <c r="L23">
        <f t="shared" si="1"/>
        <v>6.9801311728395061E-7</v>
      </c>
    </row>
    <row r="24" spans="2:12" x14ac:dyDescent="0.25">
      <c r="B24">
        <v>3</v>
      </c>
      <c r="C24">
        <v>6</v>
      </c>
      <c r="D24" s="2">
        <v>25</v>
      </c>
      <c r="E24" t="s">
        <v>21</v>
      </c>
      <c r="F24" t="s">
        <v>0</v>
      </c>
      <c r="G24" s="2">
        <v>6</v>
      </c>
      <c r="H24">
        <v>5.9389999999999998E-3</v>
      </c>
      <c r="I24">
        <v>4.4489999999999998E-3</v>
      </c>
      <c r="J24">
        <v>5000</v>
      </c>
      <c r="K24">
        <v>22801</v>
      </c>
      <c r="L24">
        <f t="shared" si="1"/>
        <v>8.8979999999999993E-7</v>
      </c>
    </row>
    <row r="25" spans="2:12" x14ac:dyDescent="0.25">
      <c r="B25">
        <v>4</v>
      </c>
      <c r="C25">
        <v>6</v>
      </c>
      <c r="D25" s="2">
        <v>18</v>
      </c>
      <c r="E25" t="s">
        <v>21</v>
      </c>
      <c r="F25" t="s">
        <v>0</v>
      </c>
      <c r="G25" s="2">
        <v>8</v>
      </c>
      <c r="H25">
        <v>3.0509999999999999E-3</v>
      </c>
      <c r="I25">
        <v>3.006E-3</v>
      </c>
      <c r="J25">
        <v>2592</v>
      </c>
      <c r="K25">
        <v>21025</v>
      </c>
      <c r="L25">
        <f t="shared" ref="L25:L88" si="2">I25/J25</f>
        <v>1.1597222222222223E-6</v>
      </c>
    </row>
    <row r="26" spans="2:12" x14ac:dyDescent="0.25">
      <c r="B26">
        <v>5</v>
      </c>
      <c r="C26">
        <v>6</v>
      </c>
      <c r="D26" s="2">
        <v>15</v>
      </c>
      <c r="E26" t="s">
        <v>21</v>
      </c>
      <c r="F26" t="s">
        <v>0</v>
      </c>
      <c r="G26" s="2">
        <v>10</v>
      </c>
      <c r="H26">
        <v>3.0525000000000001E-3</v>
      </c>
      <c r="I26">
        <v>3.0149999999999999E-3</v>
      </c>
      <c r="J26">
        <v>1800</v>
      </c>
      <c r="K26">
        <v>22801</v>
      </c>
      <c r="L26">
        <f t="shared" si="2"/>
        <v>1.6749999999999998E-6</v>
      </c>
    </row>
    <row r="27" spans="2:12" x14ac:dyDescent="0.25">
      <c r="B27">
        <v>2</v>
      </c>
      <c r="C27">
        <v>6</v>
      </c>
      <c r="D27" s="2">
        <v>36</v>
      </c>
      <c r="E27" t="s">
        <v>21</v>
      </c>
      <c r="F27" t="s">
        <v>22</v>
      </c>
      <c r="G27" s="2">
        <v>4</v>
      </c>
      <c r="H27">
        <v>1.0937499999999999E-2</v>
      </c>
      <c r="I27">
        <v>1.0839E-2</v>
      </c>
      <c r="J27">
        <v>10368</v>
      </c>
      <c r="K27">
        <v>21025</v>
      </c>
      <c r="L27">
        <f t="shared" si="2"/>
        <v>1.0454282407407406E-6</v>
      </c>
    </row>
    <row r="28" spans="2:12" x14ac:dyDescent="0.25">
      <c r="B28">
        <v>3</v>
      </c>
      <c r="C28">
        <v>6</v>
      </c>
      <c r="D28" s="2">
        <v>25</v>
      </c>
      <c r="E28" t="s">
        <v>21</v>
      </c>
      <c r="F28" t="s">
        <v>22</v>
      </c>
      <c r="G28" s="2">
        <v>6</v>
      </c>
      <c r="H28">
        <v>1.8944333333299999E-2</v>
      </c>
      <c r="I28">
        <v>1.8439000000000001E-2</v>
      </c>
      <c r="J28">
        <v>5000</v>
      </c>
      <c r="K28">
        <v>22801</v>
      </c>
      <c r="L28">
        <f t="shared" si="2"/>
        <v>3.6878000000000001E-6</v>
      </c>
    </row>
    <row r="29" spans="2:12" x14ac:dyDescent="0.25">
      <c r="B29">
        <v>4</v>
      </c>
      <c r="C29">
        <v>6</v>
      </c>
      <c r="D29" s="2">
        <v>18</v>
      </c>
      <c r="E29" t="s">
        <v>21</v>
      </c>
      <c r="F29" t="s">
        <v>22</v>
      </c>
      <c r="G29" s="2">
        <v>8</v>
      </c>
      <c r="H29">
        <v>3.79138333333E-2</v>
      </c>
      <c r="I29">
        <v>3.7633E-2</v>
      </c>
      <c r="J29">
        <v>2592</v>
      </c>
      <c r="K29">
        <v>21025</v>
      </c>
      <c r="L29">
        <f t="shared" si="2"/>
        <v>1.4518904320987654E-5</v>
      </c>
    </row>
    <row r="30" spans="2:12" x14ac:dyDescent="0.25">
      <c r="B30">
        <v>5</v>
      </c>
      <c r="C30">
        <v>6</v>
      </c>
      <c r="D30" s="2">
        <v>15</v>
      </c>
      <c r="E30" t="s">
        <v>21</v>
      </c>
      <c r="F30" t="s">
        <v>22</v>
      </c>
      <c r="G30" s="2">
        <v>10</v>
      </c>
      <c r="H30">
        <v>9.2503666666699999E-2</v>
      </c>
      <c r="I30">
        <v>9.2355999999999994E-2</v>
      </c>
      <c r="J30">
        <v>1800</v>
      </c>
      <c r="K30">
        <v>22801</v>
      </c>
      <c r="L30">
        <f t="shared" si="2"/>
        <v>5.1308888888888884E-5</v>
      </c>
    </row>
    <row r="31" spans="2:12" x14ac:dyDescent="0.25">
      <c r="B31">
        <v>1</v>
      </c>
      <c r="C31">
        <v>6</v>
      </c>
      <c r="D31" s="2">
        <v>24</v>
      </c>
      <c r="E31" t="s">
        <v>23</v>
      </c>
      <c r="F31" t="s">
        <v>13</v>
      </c>
      <c r="G31" s="2">
        <v>1</v>
      </c>
      <c r="H31">
        <v>4.5696833333299998E-2</v>
      </c>
      <c r="I31">
        <v>4.5516000000000001E-2</v>
      </c>
      <c r="J31">
        <v>155664</v>
      </c>
      <c r="K31">
        <v>27672</v>
      </c>
      <c r="L31">
        <f t="shared" si="2"/>
        <v>2.9239901325932778E-7</v>
      </c>
    </row>
    <row r="32" spans="2:12" x14ac:dyDescent="0.25">
      <c r="B32">
        <v>2</v>
      </c>
      <c r="C32">
        <v>6</v>
      </c>
      <c r="D32" s="2">
        <v>12</v>
      </c>
      <c r="E32" t="s">
        <v>23</v>
      </c>
      <c r="F32" t="s">
        <v>13</v>
      </c>
      <c r="G32" s="2">
        <v>2</v>
      </c>
      <c r="H32">
        <v>2.90368333333E-2</v>
      </c>
      <c r="I32">
        <v>2.8974E-2</v>
      </c>
      <c r="J32">
        <v>18216</v>
      </c>
      <c r="K32">
        <v>25967</v>
      </c>
      <c r="L32">
        <f t="shared" si="2"/>
        <v>1.5905797101449275E-6</v>
      </c>
    </row>
    <row r="33" spans="2:12" x14ac:dyDescent="0.25">
      <c r="B33">
        <v>3</v>
      </c>
      <c r="C33">
        <v>6</v>
      </c>
      <c r="D33" s="2">
        <v>8</v>
      </c>
      <c r="E33" t="s">
        <v>23</v>
      </c>
      <c r="F33" t="s">
        <v>13</v>
      </c>
      <c r="G33" s="2">
        <v>3</v>
      </c>
      <c r="H33">
        <v>1.9323833333300001E-2</v>
      </c>
      <c r="I33">
        <v>1.9130999999999999E-2</v>
      </c>
      <c r="J33">
        <v>5040</v>
      </c>
      <c r="K33">
        <v>24310</v>
      </c>
      <c r="L33">
        <f t="shared" si="2"/>
        <v>3.7958333333333331E-6</v>
      </c>
    </row>
    <row r="34" spans="2:12" x14ac:dyDescent="0.25">
      <c r="B34">
        <v>4</v>
      </c>
      <c r="C34">
        <v>6</v>
      </c>
      <c r="D34" s="2">
        <v>6</v>
      </c>
      <c r="E34" t="s">
        <v>23</v>
      </c>
      <c r="F34" t="s">
        <v>13</v>
      </c>
      <c r="G34" s="2">
        <v>4</v>
      </c>
      <c r="H34">
        <v>3.3842833333300001E-2</v>
      </c>
      <c r="I34">
        <v>3.2939999999999997E-2</v>
      </c>
      <c r="J34">
        <v>1980</v>
      </c>
      <c r="K34">
        <v>22701</v>
      </c>
      <c r="L34">
        <f t="shared" si="2"/>
        <v>1.6636363636363633E-5</v>
      </c>
    </row>
    <row r="35" spans="2:12" x14ac:dyDescent="0.25">
      <c r="B35">
        <v>5</v>
      </c>
      <c r="C35">
        <v>6</v>
      </c>
      <c r="D35" s="2">
        <v>5</v>
      </c>
      <c r="E35" t="s">
        <v>23</v>
      </c>
      <c r="F35" t="s">
        <v>13</v>
      </c>
      <c r="G35" s="2">
        <v>5</v>
      </c>
      <c r="H35">
        <v>4.1965666666699999E-2</v>
      </c>
      <c r="I35">
        <v>4.1875999999999997E-2</v>
      </c>
      <c r="J35">
        <v>1080</v>
      </c>
      <c r="K35">
        <v>24171</v>
      </c>
      <c r="L35">
        <f t="shared" si="2"/>
        <v>3.8774074074074069E-5</v>
      </c>
    </row>
    <row r="36" spans="2:12" x14ac:dyDescent="0.25">
      <c r="B36">
        <v>2</v>
      </c>
      <c r="C36">
        <v>6</v>
      </c>
      <c r="D36" s="2">
        <v>12</v>
      </c>
      <c r="E36" t="s">
        <v>23</v>
      </c>
      <c r="F36" t="s">
        <v>0</v>
      </c>
      <c r="G36" s="2">
        <v>2</v>
      </c>
      <c r="H36">
        <v>4.3334999999999997E-3</v>
      </c>
      <c r="I36">
        <v>4.3169999999999997E-3</v>
      </c>
      <c r="J36">
        <v>18216</v>
      </c>
      <c r="K36">
        <v>25967</v>
      </c>
      <c r="L36">
        <f t="shared" si="2"/>
        <v>2.3698945981554675E-7</v>
      </c>
    </row>
    <row r="37" spans="2:12" x14ac:dyDescent="0.25">
      <c r="B37">
        <v>3</v>
      </c>
      <c r="C37">
        <v>6</v>
      </c>
      <c r="D37" s="2">
        <v>8</v>
      </c>
      <c r="E37" t="s">
        <v>23</v>
      </c>
      <c r="F37" t="s">
        <v>0</v>
      </c>
      <c r="G37" s="2">
        <v>3</v>
      </c>
      <c r="H37">
        <v>2.31516666667E-3</v>
      </c>
      <c r="I37">
        <v>2.2950000000000002E-3</v>
      </c>
      <c r="J37">
        <v>5040</v>
      </c>
      <c r="K37">
        <v>24310</v>
      </c>
      <c r="L37">
        <f t="shared" si="2"/>
        <v>4.553571428571429E-7</v>
      </c>
    </row>
    <row r="38" spans="2:12" x14ac:dyDescent="0.25">
      <c r="B38">
        <v>4</v>
      </c>
      <c r="C38">
        <v>6</v>
      </c>
      <c r="D38" s="2">
        <v>6</v>
      </c>
      <c r="E38" t="s">
        <v>23</v>
      </c>
      <c r="F38" t="s">
        <v>0</v>
      </c>
      <c r="G38" s="2">
        <v>4</v>
      </c>
      <c r="H38">
        <v>1.23483333333E-3</v>
      </c>
      <c r="I38">
        <v>1.23E-3</v>
      </c>
      <c r="J38">
        <v>1980</v>
      </c>
      <c r="K38">
        <v>22701</v>
      </c>
      <c r="L38">
        <f t="shared" si="2"/>
        <v>6.212121212121212E-7</v>
      </c>
    </row>
    <row r="39" spans="2:12" x14ac:dyDescent="0.25">
      <c r="B39">
        <v>5</v>
      </c>
      <c r="C39">
        <v>6</v>
      </c>
      <c r="D39" s="2">
        <v>5</v>
      </c>
      <c r="E39" t="s">
        <v>23</v>
      </c>
      <c r="F39" t="s">
        <v>0</v>
      </c>
      <c r="G39" s="2">
        <v>5</v>
      </c>
      <c r="H39">
        <v>1.27933333333E-3</v>
      </c>
      <c r="I39">
        <v>1.2600000000000001E-3</v>
      </c>
      <c r="J39">
        <v>1080</v>
      </c>
      <c r="K39">
        <v>24171</v>
      </c>
      <c r="L39">
        <f t="shared" si="2"/>
        <v>1.1666666666666668E-6</v>
      </c>
    </row>
    <row r="40" spans="2:12" x14ac:dyDescent="0.25">
      <c r="B40">
        <v>2</v>
      </c>
      <c r="C40">
        <v>6</v>
      </c>
      <c r="D40" s="2">
        <v>12</v>
      </c>
      <c r="E40" t="s">
        <v>23</v>
      </c>
      <c r="F40" t="s">
        <v>22</v>
      </c>
      <c r="G40" s="2">
        <v>2</v>
      </c>
      <c r="H40">
        <v>5.4224166666699998E-2</v>
      </c>
      <c r="I40">
        <v>5.1663000000000001E-2</v>
      </c>
      <c r="J40">
        <v>18216</v>
      </c>
      <c r="K40">
        <v>25967</v>
      </c>
      <c r="L40">
        <f t="shared" si="2"/>
        <v>2.836133069828722E-6</v>
      </c>
    </row>
    <row r="41" spans="2:12" x14ac:dyDescent="0.25">
      <c r="B41">
        <v>3</v>
      </c>
      <c r="C41">
        <v>6</v>
      </c>
      <c r="D41" s="2">
        <v>8</v>
      </c>
      <c r="E41" t="s">
        <v>23</v>
      </c>
      <c r="F41" t="s">
        <v>22</v>
      </c>
      <c r="G41" s="2">
        <v>3</v>
      </c>
      <c r="H41">
        <v>0.223138833333</v>
      </c>
      <c r="I41">
        <v>0.220614</v>
      </c>
      <c r="J41">
        <v>5040</v>
      </c>
      <c r="K41">
        <v>24310</v>
      </c>
      <c r="L41">
        <f t="shared" si="2"/>
        <v>4.3772619047619047E-5</v>
      </c>
    </row>
    <row r="42" spans="2:12" x14ac:dyDescent="0.25">
      <c r="B42">
        <v>1</v>
      </c>
      <c r="C42">
        <v>6</v>
      </c>
      <c r="D42" s="2">
        <v>72</v>
      </c>
      <c r="E42" t="s">
        <v>24</v>
      </c>
      <c r="F42" t="s">
        <v>13</v>
      </c>
      <c r="G42" s="2">
        <v>1</v>
      </c>
      <c r="H42">
        <v>3.4550166666700001E-2</v>
      </c>
      <c r="I42">
        <v>2.8118000000000001E-2</v>
      </c>
      <c r="J42">
        <v>41472</v>
      </c>
      <c r="K42">
        <v>21025</v>
      </c>
      <c r="L42">
        <f t="shared" si="2"/>
        <v>6.7799961419753093E-7</v>
      </c>
    </row>
    <row r="43" spans="2:12" x14ac:dyDescent="0.25">
      <c r="B43">
        <v>2</v>
      </c>
      <c r="C43">
        <v>6</v>
      </c>
      <c r="D43" s="2">
        <v>36</v>
      </c>
      <c r="E43" t="s">
        <v>24</v>
      </c>
      <c r="F43" t="s">
        <v>13</v>
      </c>
      <c r="G43" s="2">
        <v>2</v>
      </c>
      <c r="H43">
        <v>1.04418333333E-2</v>
      </c>
      <c r="I43">
        <v>1.0387E-2</v>
      </c>
      <c r="J43">
        <v>10368</v>
      </c>
      <c r="K43">
        <v>21025</v>
      </c>
      <c r="L43">
        <f t="shared" si="2"/>
        <v>1.0018325617283951E-6</v>
      </c>
    </row>
    <row r="44" spans="2:12" x14ac:dyDescent="0.25">
      <c r="B44">
        <v>3</v>
      </c>
      <c r="C44">
        <v>6</v>
      </c>
      <c r="D44" s="2">
        <v>25</v>
      </c>
      <c r="E44" t="s">
        <v>24</v>
      </c>
      <c r="F44" t="s">
        <v>13</v>
      </c>
      <c r="G44" s="2">
        <v>3</v>
      </c>
      <c r="H44">
        <v>9.3589999999999993E-3</v>
      </c>
      <c r="I44" s="3">
        <v>9.2250000000000006E-3</v>
      </c>
      <c r="J44">
        <v>5000</v>
      </c>
      <c r="K44">
        <v>22801</v>
      </c>
      <c r="L44">
        <f t="shared" si="2"/>
        <v>1.8450000000000001E-6</v>
      </c>
    </row>
    <row r="45" spans="2:12" x14ac:dyDescent="0.25">
      <c r="B45">
        <v>4</v>
      </c>
      <c r="C45">
        <v>6</v>
      </c>
      <c r="D45" s="2">
        <v>18</v>
      </c>
      <c r="E45" t="s">
        <v>24</v>
      </c>
      <c r="F45" t="s">
        <v>13</v>
      </c>
      <c r="G45" s="2">
        <v>4</v>
      </c>
      <c r="H45">
        <v>1.00533333333E-2</v>
      </c>
      <c r="I45">
        <v>9.9699999999999997E-3</v>
      </c>
      <c r="J45">
        <v>2592</v>
      </c>
      <c r="K45">
        <v>21025</v>
      </c>
      <c r="L45">
        <f t="shared" si="2"/>
        <v>3.8464506172839503E-6</v>
      </c>
    </row>
    <row r="46" spans="2:12" x14ac:dyDescent="0.25">
      <c r="B46">
        <v>5</v>
      </c>
      <c r="C46">
        <v>6</v>
      </c>
      <c r="D46" s="2">
        <v>15</v>
      </c>
      <c r="E46" t="s">
        <v>24</v>
      </c>
      <c r="F46" t="s">
        <v>13</v>
      </c>
      <c r="G46" s="2">
        <v>5</v>
      </c>
      <c r="H46">
        <v>1.26135E-2</v>
      </c>
      <c r="I46">
        <v>1.259E-2</v>
      </c>
      <c r="J46">
        <v>1800</v>
      </c>
      <c r="K46">
        <v>22801</v>
      </c>
      <c r="L46">
        <f t="shared" si="2"/>
        <v>6.9944444444444443E-6</v>
      </c>
    </row>
    <row r="47" spans="2:12" x14ac:dyDescent="0.25">
      <c r="B47">
        <v>2</v>
      </c>
      <c r="C47">
        <v>6</v>
      </c>
      <c r="D47" s="2">
        <v>36</v>
      </c>
      <c r="E47" t="s">
        <v>24</v>
      </c>
      <c r="F47" t="s">
        <v>0</v>
      </c>
      <c r="G47" s="2">
        <v>2</v>
      </c>
      <c r="H47">
        <v>5.8096666666700002E-3</v>
      </c>
      <c r="I47">
        <v>5.7780000000000001E-3</v>
      </c>
      <c r="J47">
        <v>10368</v>
      </c>
      <c r="K47">
        <v>21025</v>
      </c>
      <c r="L47">
        <f t="shared" si="2"/>
        <v>5.572916666666667E-7</v>
      </c>
    </row>
    <row r="48" spans="2:12" x14ac:dyDescent="0.25">
      <c r="B48">
        <v>3</v>
      </c>
      <c r="C48">
        <v>6</v>
      </c>
      <c r="D48" s="2">
        <v>25</v>
      </c>
      <c r="E48" t="s">
        <v>24</v>
      </c>
      <c r="F48" t="s">
        <v>0</v>
      </c>
      <c r="G48" s="2">
        <v>3</v>
      </c>
      <c r="H48">
        <v>3.1380000000000002E-3</v>
      </c>
      <c r="I48">
        <v>3.1180000000000001E-3</v>
      </c>
      <c r="J48">
        <v>5000</v>
      </c>
      <c r="K48">
        <v>22801</v>
      </c>
      <c r="L48">
        <f t="shared" si="2"/>
        <v>6.2360000000000005E-7</v>
      </c>
    </row>
    <row r="49" spans="2:12" x14ac:dyDescent="0.25">
      <c r="B49">
        <v>4</v>
      </c>
      <c r="C49">
        <v>6</v>
      </c>
      <c r="D49" s="2">
        <v>18</v>
      </c>
      <c r="E49" t="s">
        <v>24</v>
      </c>
      <c r="F49" t="s">
        <v>0</v>
      </c>
      <c r="G49" s="2">
        <v>4</v>
      </c>
      <c r="H49">
        <v>1.7686666666699999E-3</v>
      </c>
      <c r="I49">
        <v>1.7359999999999999E-3</v>
      </c>
      <c r="J49">
        <v>2592</v>
      </c>
      <c r="K49">
        <v>21025</v>
      </c>
      <c r="L49">
        <f t="shared" si="2"/>
        <v>6.697530864197531E-7</v>
      </c>
    </row>
    <row r="50" spans="2:12" x14ac:dyDescent="0.25">
      <c r="B50">
        <v>5</v>
      </c>
      <c r="C50">
        <v>6</v>
      </c>
      <c r="D50" s="2">
        <v>15</v>
      </c>
      <c r="E50" t="s">
        <v>24</v>
      </c>
      <c r="F50" t="s">
        <v>0</v>
      </c>
      <c r="G50" s="2">
        <v>5</v>
      </c>
      <c r="H50">
        <v>1.5251666666699999E-3</v>
      </c>
      <c r="I50">
        <v>1.505E-3</v>
      </c>
      <c r="J50">
        <v>1800</v>
      </c>
      <c r="K50">
        <v>22801</v>
      </c>
      <c r="L50">
        <f t="shared" si="2"/>
        <v>8.3611111111111113E-7</v>
      </c>
    </row>
    <row r="51" spans="2:12" x14ac:dyDescent="0.25">
      <c r="B51">
        <v>2</v>
      </c>
      <c r="C51">
        <v>6</v>
      </c>
      <c r="D51" s="2">
        <v>36</v>
      </c>
      <c r="E51" t="s">
        <v>24</v>
      </c>
      <c r="F51" t="s">
        <v>22</v>
      </c>
      <c r="G51" s="2">
        <v>2</v>
      </c>
      <c r="H51">
        <v>7.8441666666700001E-3</v>
      </c>
      <c r="I51">
        <v>7.522E-3</v>
      </c>
      <c r="J51">
        <v>10368</v>
      </c>
      <c r="K51">
        <v>21025</v>
      </c>
      <c r="L51">
        <f t="shared" si="2"/>
        <v>7.2550154320987652E-7</v>
      </c>
    </row>
    <row r="52" spans="2:12" x14ac:dyDescent="0.25">
      <c r="B52">
        <v>3</v>
      </c>
      <c r="C52">
        <v>6</v>
      </c>
      <c r="D52" s="2">
        <v>25</v>
      </c>
      <c r="E52" t="s">
        <v>24</v>
      </c>
      <c r="F52" t="s">
        <v>22</v>
      </c>
      <c r="G52" s="2">
        <v>3</v>
      </c>
      <c r="H52">
        <v>7.4640000000000001E-3</v>
      </c>
      <c r="I52">
        <v>7.3699999999999998E-3</v>
      </c>
      <c r="J52">
        <v>5000</v>
      </c>
      <c r="K52">
        <v>22801</v>
      </c>
      <c r="L52">
        <f t="shared" si="2"/>
        <v>1.474E-6</v>
      </c>
    </row>
    <row r="53" spans="2:12" x14ac:dyDescent="0.25">
      <c r="B53">
        <v>4</v>
      </c>
      <c r="C53">
        <v>6</v>
      </c>
      <c r="D53" s="2">
        <v>18</v>
      </c>
      <c r="E53" t="s">
        <v>24</v>
      </c>
      <c r="F53" t="s">
        <v>22</v>
      </c>
      <c r="G53" s="2">
        <v>4</v>
      </c>
      <c r="H53">
        <v>9.9038333333299998E-3</v>
      </c>
      <c r="I53">
        <v>9.5460000000000007E-3</v>
      </c>
      <c r="J53">
        <v>2592</v>
      </c>
      <c r="K53">
        <v>21025</v>
      </c>
      <c r="L53">
        <f t="shared" si="2"/>
        <v>3.6828703703703705E-6</v>
      </c>
    </row>
    <row r="54" spans="2:12" x14ac:dyDescent="0.25">
      <c r="B54">
        <v>5</v>
      </c>
      <c r="C54">
        <v>6</v>
      </c>
      <c r="D54" s="2">
        <v>15</v>
      </c>
      <c r="E54" t="s">
        <v>24</v>
      </c>
      <c r="F54" t="s">
        <v>22</v>
      </c>
      <c r="G54" s="2">
        <v>5</v>
      </c>
      <c r="H54">
        <v>1.64266666667E-2</v>
      </c>
      <c r="I54">
        <v>1.6209000000000001E-2</v>
      </c>
      <c r="J54">
        <v>1800</v>
      </c>
      <c r="K54">
        <v>22801</v>
      </c>
      <c r="L54">
        <f t="shared" si="2"/>
        <v>9.005000000000001E-6</v>
      </c>
    </row>
    <row r="55" spans="2:12" x14ac:dyDescent="0.25">
      <c r="B55">
        <v>1</v>
      </c>
      <c r="C55">
        <v>6</v>
      </c>
      <c r="D55" s="2">
        <v>24</v>
      </c>
      <c r="E55" t="s">
        <v>14</v>
      </c>
      <c r="F55" t="s">
        <v>13</v>
      </c>
      <c r="G55" s="2">
        <v>1</v>
      </c>
      <c r="H55">
        <v>0.11840916666699999</v>
      </c>
      <c r="I55">
        <v>0.116601</v>
      </c>
      <c r="J55">
        <v>155664</v>
      </c>
      <c r="K55">
        <v>27672</v>
      </c>
      <c r="L55">
        <f t="shared" si="2"/>
        <v>7.4905565834104218E-7</v>
      </c>
    </row>
    <row r="56" spans="2:12" x14ac:dyDescent="0.25">
      <c r="B56">
        <v>2</v>
      </c>
      <c r="C56">
        <v>6</v>
      </c>
      <c r="D56" s="2">
        <v>12</v>
      </c>
      <c r="E56" t="s">
        <v>14</v>
      </c>
      <c r="F56" t="s">
        <v>13</v>
      </c>
      <c r="G56" s="2">
        <v>2</v>
      </c>
      <c r="H56">
        <v>0.16178200000000001</v>
      </c>
      <c r="I56">
        <v>0.16125500000000001</v>
      </c>
      <c r="J56">
        <v>18216</v>
      </c>
      <c r="K56">
        <v>25967</v>
      </c>
      <c r="L56">
        <f t="shared" si="2"/>
        <v>8.8523825208607823E-6</v>
      </c>
    </row>
    <row r="57" spans="2:12" x14ac:dyDescent="0.25">
      <c r="B57">
        <v>3</v>
      </c>
      <c r="C57">
        <v>6</v>
      </c>
      <c r="D57" s="2">
        <v>8</v>
      </c>
      <c r="E57" t="s">
        <v>14</v>
      </c>
      <c r="F57" t="s">
        <v>13</v>
      </c>
      <c r="G57" s="2">
        <v>4</v>
      </c>
      <c r="H57">
        <v>0.41669233333299999</v>
      </c>
      <c r="I57">
        <v>0.41050599999999998</v>
      </c>
      <c r="J57">
        <v>5040</v>
      </c>
      <c r="K57">
        <v>24310</v>
      </c>
      <c r="L57">
        <f t="shared" si="2"/>
        <v>8.1449603174603172E-5</v>
      </c>
    </row>
    <row r="58" spans="2:12" x14ac:dyDescent="0.25">
      <c r="B58">
        <v>4</v>
      </c>
      <c r="C58">
        <v>6</v>
      </c>
      <c r="D58" s="2">
        <v>6</v>
      </c>
      <c r="E58" t="s">
        <v>14</v>
      </c>
      <c r="F58" t="s">
        <v>13</v>
      </c>
      <c r="G58" s="2">
        <v>6</v>
      </c>
      <c r="H58">
        <v>1.3918056666700001</v>
      </c>
      <c r="I58">
        <v>1.387392</v>
      </c>
      <c r="J58">
        <v>1980</v>
      </c>
      <c r="K58">
        <v>22701</v>
      </c>
      <c r="L58">
        <f t="shared" si="2"/>
        <v>7.0070303030303027E-4</v>
      </c>
    </row>
    <row r="59" spans="2:12" x14ac:dyDescent="0.25">
      <c r="B59">
        <v>5</v>
      </c>
      <c r="C59">
        <v>6</v>
      </c>
      <c r="D59" s="2">
        <v>5</v>
      </c>
      <c r="E59" t="s">
        <v>14</v>
      </c>
      <c r="F59" t="s">
        <v>13</v>
      </c>
      <c r="G59" s="2">
        <v>8</v>
      </c>
      <c r="H59">
        <v>2.7694513333300002</v>
      </c>
      <c r="I59">
        <v>2.7499180000000001</v>
      </c>
      <c r="J59">
        <v>1080</v>
      </c>
      <c r="K59">
        <v>24171</v>
      </c>
      <c r="L59">
        <f t="shared" si="2"/>
        <v>2.5462203703703703E-3</v>
      </c>
    </row>
    <row r="60" spans="2:12" x14ac:dyDescent="0.25">
      <c r="B60">
        <v>1</v>
      </c>
      <c r="C60">
        <v>6</v>
      </c>
      <c r="D60" s="2">
        <v>24</v>
      </c>
      <c r="E60" t="s">
        <v>14</v>
      </c>
      <c r="F60" t="s">
        <v>12</v>
      </c>
      <c r="G60" s="2">
        <v>1</v>
      </c>
      <c r="H60">
        <v>0.11681266666700001</v>
      </c>
      <c r="I60">
        <v>0.11641799999999999</v>
      </c>
      <c r="J60">
        <v>155664</v>
      </c>
      <c r="K60">
        <v>27672</v>
      </c>
      <c r="L60">
        <f t="shared" si="2"/>
        <v>7.4788004933703358E-7</v>
      </c>
    </row>
    <row r="61" spans="2:12" x14ac:dyDescent="0.25">
      <c r="B61">
        <v>2</v>
      </c>
      <c r="C61">
        <v>6</v>
      </c>
      <c r="D61" s="2">
        <v>12</v>
      </c>
      <c r="E61" t="s">
        <v>14</v>
      </c>
      <c r="F61" t="s">
        <v>12</v>
      </c>
      <c r="G61" s="2">
        <v>2</v>
      </c>
      <c r="H61">
        <v>0.31866499999999998</v>
      </c>
      <c r="I61">
        <v>0.31776399999999999</v>
      </c>
      <c r="J61">
        <v>18216</v>
      </c>
      <c r="K61">
        <v>25967</v>
      </c>
      <c r="L61">
        <f t="shared" si="2"/>
        <v>1.7444224857268335E-5</v>
      </c>
    </row>
    <row r="62" spans="2:12" x14ac:dyDescent="0.25">
      <c r="B62">
        <v>3</v>
      </c>
      <c r="C62">
        <v>6</v>
      </c>
      <c r="D62" s="2">
        <v>8</v>
      </c>
      <c r="E62" t="s">
        <v>14</v>
      </c>
      <c r="F62" t="s">
        <v>12</v>
      </c>
      <c r="G62" s="2">
        <v>4</v>
      </c>
      <c r="H62">
        <v>0.75267216666699999</v>
      </c>
      <c r="I62">
        <v>0.74798500000000001</v>
      </c>
      <c r="J62">
        <v>5040</v>
      </c>
      <c r="K62">
        <v>24310</v>
      </c>
      <c r="L62">
        <f t="shared" si="2"/>
        <v>1.4840972222222222E-4</v>
      </c>
    </row>
    <row r="63" spans="2:12" x14ac:dyDescent="0.25">
      <c r="B63">
        <v>4</v>
      </c>
      <c r="C63">
        <v>6</v>
      </c>
      <c r="D63" s="2">
        <v>6</v>
      </c>
      <c r="E63" t="s">
        <v>14</v>
      </c>
      <c r="F63" t="s">
        <v>12</v>
      </c>
      <c r="G63" s="2">
        <v>6</v>
      </c>
      <c r="H63">
        <v>1.80193766667</v>
      </c>
      <c r="I63">
        <v>1.7973490000000001</v>
      </c>
      <c r="J63">
        <v>1980</v>
      </c>
      <c r="K63">
        <v>22701</v>
      </c>
      <c r="L63">
        <f t="shared" si="2"/>
        <v>9.0775202020202024E-4</v>
      </c>
    </row>
    <row r="64" spans="2:12" x14ac:dyDescent="0.25">
      <c r="B64">
        <v>5</v>
      </c>
      <c r="C64">
        <v>6</v>
      </c>
      <c r="D64" s="2">
        <v>5</v>
      </c>
      <c r="E64" t="s">
        <v>14</v>
      </c>
      <c r="F64" t="s">
        <v>12</v>
      </c>
      <c r="G64" s="2">
        <v>8</v>
      </c>
      <c r="H64">
        <v>4.5650883333300003</v>
      </c>
      <c r="I64">
        <v>4.5040490000000002</v>
      </c>
      <c r="J64">
        <v>1080</v>
      </c>
      <c r="K64">
        <v>24171</v>
      </c>
      <c r="L64">
        <f t="shared" si="2"/>
        <v>4.1704157407407407E-3</v>
      </c>
    </row>
    <row r="65" spans="2:12" x14ac:dyDescent="0.25">
      <c r="B65">
        <v>1</v>
      </c>
      <c r="C65">
        <v>6</v>
      </c>
      <c r="D65" s="2">
        <v>24</v>
      </c>
      <c r="E65" t="s">
        <v>14</v>
      </c>
      <c r="F65" t="s">
        <v>0</v>
      </c>
      <c r="G65" s="2">
        <v>1</v>
      </c>
      <c r="H65">
        <v>0.11758783333300001</v>
      </c>
      <c r="I65">
        <v>0.11702</v>
      </c>
      <c r="J65">
        <v>155664</v>
      </c>
      <c r="K65">
        <v>27672</v>
      </c>
      <c r="L65">
        <f t="shared" si="2"/>
        <v>7.5174735327371772E-7</v>
      </c>
    </row>
    <row r="66" spans="2:12" x14ac:dyDescent="0.25">
      <c r="B66">
        <v>2</v>
      </c>
      <c r="C66">
        <v>6</v>
      </c>
      <c r="D66" s="2">
        <v>12</v>
      </c>
      <c r="E66" t="s">
        <v>14</v>
      </c>
      <c r="F66" t="s">
        <v>0</v>
      </c>
      <c r="G66" s="2">
        <v>2</v>
      </c>
      <c r="H66">
        <v>5.7911333333300001E-2</v>
      </c>
      <c r="I66">
        <v>5.7546E-2</v>
      </c>
      <c r="J66">
        <v>18216</v>
      </c>
      <c r="K66">
        <v>25967</v>
      </c>
      <c r="L66">
        <f t="shared" si="2"/>
        <v>3.159090909090909E-6</v>
      </c>
    </row>
    <row r="67" spans="2:12" x14ac:dyDescent="0.25">
      <c r="B67">
        <v>3</v>
      </c>
      <c r="C67">
        <v>6</v>
      </c>
      <c r="D67" s="2">
        <v>8</v>
      </c>
      <c r="E67" t="s">
        <v>14</v>
      </c>
      <c r="F67" t="s">
        <v>0</v>
      </c>
      <c r="G67" s="2">
        <v>4</v>
      </c>
      <c r="H67">
        <v>5.8182666666700002E-2</v>
      </c>
      <c r="I67">
        <v>5.8050999999999998E-2</v>
      </c>
      <c r="J67">
        <v>5040</v>
      </c>
      <c r="K67">
        <v>24310</v>
      </c>
      <c r="L67">
        <f t="shared" si="2"/>
        <v>1.1518055555555555E-5</v>
      </c>
    </row>
    <row r="68" spans="2:12" x14ac:dyDescent="0.25">
      <c r="B68">
        <v>4</v>
      </c>
      <c r="C68">
        <v>6</v>
      </c>
      <c r="D68" s="2">
        <v>6</v>
      </c>
      <c r="E68" t="s">
        <v>14</v>
      </c>
      <c r="F68" t="s">
        <v>0</v>
      </c>
      <c r="G68" s="2">
        <v>6</v>
      </c>
      <c r="H68">
        <v>7.0657999999999999E-2</v>
      </c>
      <c r="I68">
        <v>7.0469000000000004E-2</v>
      </c>
      <c r="J68">
        <v>1980</v>
      </c>
      <c r="K68">
        <v>22701</v>
      </c>
      <c r="L68">
        <f t="shared" si="2"/>
        <v>3.5590404040404042E-5</v>
      </c>
    </row>
    <row r="69" spans="2:12" x14ac:dyDescent="0.25">
      <c r="B69">
        <v>5</v>
      </c>
      <c r="C69">
        <v>6</v>
      </c>
      <c r="D69" s="2">
        <v>5</v>
      </c>
      <c r="E69" t="s">
        <v>14</v>
      </c>
      <c r="F69" t="s">
        <v>0</v>
      </c>
      <c r="G69" s="2">
        <v>8</v>
      </c>
      <c r="H69">
        <v>0.10002283333299999</v>
      </c>
      <c r="I69">
        <v>9.9857000000000001E-2</v>
      </c>
      <c r="J69">
        <v>1080</v>
      </c>
      <c r="K69">
        <v>24171</v>
      </c>
      <c r="L69">
        <f t="shared" si="2"/>
        <v>9.2460185185185185E-5</v>
      </c>
    </row>
    <row r="70" spans="2:12" x14ac:dyDescent="0.25">
      <c r="B70">
        <v>1</v>
      </c>
      <c r="C70">
        <v>6</v>
      </c>
      <c r="D70" s="2">
        <v>24</v>
      </c>
      <c r="E70" t="s">
        <v>16</v>
      </c>
      <c r="F70" t="s">
        <v>13</v>
      </c>
      <c r="G70" s="2">
        <v>1</v>
      </c>
      <c r="H70">
        <v>5.8923833333300001E-2</v>
      </c>
      <c r="I70">
        <v>5.8694000000000003E-2</v>
      </c>
      <c r="J70">
        <v>155664</v>
      </c>
      <c r="K70">
        <v>27672</v>
      </c>
      <c r="L70">
        <f t="shared" si="2"/>
        <v>3.7705570973378561E-7</v>
      </c>
    </row>
    <row r="71" spans="2:12" x14ac:dyDescent="0.25">
      <c r="B71">
        <v>2</v>
      </c>
      <c r="C71">
        <v>6</v>
      </c>
      <c r="D71" s="2">
        <v>12</v>
      </c>
      <c r="E71" t="s">
        <v>16</v>
      </c>
      <c r="F71" t="s">
        <v>13</v>
      </c>
      <c r="G71" s="2">
        <v>2</v>
      </c>
      <c r="H71">
        <v>4.5568666666700001E-2</v>
      </c>
      <c r="I71">
        <v>4.5443999999999998E-2</v>
      </c>
      <c r="J71">
        <v>18216</v>
      </c>
      <c r="K71">
        <v>25967</v>
      </c>
      <c r="L71">
        <f t="shared" si="2"/>
        <v>2.4947299077733857E-6</v>
      </c>
    </row>
    <row r="72" spans="2:12" x14ac:dyDescent="0.25">
      <c r="B72">
        <v>3</v>
      </c>
      <c r="C72">
        <v>6</v>
      </c>
      <c r="D72" s="2">
        <v>8</v>
      </c>
      <c r="E72" t="s">
        <v>16</v>
      </c>
      <c r="F72" t="s">
        <v>13</v>
      </c>
      <c r="G72" s="2">
        <v>4</v>
      </c>
      <c r="H72">
        <v>7.4082833333299999E-2</v>
      </c>
      <c r="I72">
        <v>7.3504E-2</v>
      </c>
      <c r="J72">
        <v>5040</v>
      </c>
      <c r="K72">
        <v>24310</v>
      </c>
      <c r="L72">
        <f t="shared" si="2"/>
        <v>1.4584126984126984E-5</v>
      </c>
    </row>
    <row r="73" spans="2:12" x14ac:dyDescent="0.25">
      <c r="B73">
        <v>4</v>
      </c>
      <c r="C73">
        <v>6</v>
      </c>
      <c r="D73" s="2">
        <v>6</v>
      </c>
      <c r="E73" t="s">
        <v>16</v>
      </c>
      <c r="F73" t="s">
        <v>13</v>
      </c>
      <c r="G73" s="2">
        <v>6</v>
      </c>
      <c r="H73">
        <v>0.155038833333</v>
      </c>
      <c r="I73">
        <v>0.14801</v>
      </c>
      <c r="J73">
        <v>1980</v>
      </c>
      <c r="K73">
        <v>22701</v>
      </c>
      <c r="L73">
        <f t="shared" si="2"/>
        <v>7.475252525252525E-5</v>
      </c>
    </row>
    <row r="74" spans="2:12" x14ac:dyDescent="0.25">
      <c r="B74">
        <v>5</v>
      </c>
      <c r="C74">
        <v>6</v>
      </c>
      <c r="D74" s="2">
        <v>5</v>
      </c>
      <c r="E74" t="s">
        <v>16</v>
      </c>
      <c r="F74" t="s">
        <v>13</v>
      </c>
      <c r="G74" s="2">
        <v>8</v>
      </c>
      <c r="H74">
        <v>0.33590683333299998</v>
      </c>
      <c r="I74">
        <v>0.32769700000000002</v>
      </c>
      <c r="J74">
        <v>1080</v>
      </c>
      <c r="K74">
        <v>24171</v>
      </c>
      <c r="L74">
        <f t="shared" si="2"/>
        <v>3.0342314814814814E-4</v>
      </c>
    </row>
    <row r="75" spans="2:12" x14ac:dyDescent="0.25">
      <c r="B75">
        <v>1</v>
      </c>
      <c r="C75">
        <v>6</v>
      </c>
      <c r="D75" s="2">
        <v>24</v>
      </c>
      <c r="E75" t="s">
        <v>16</v>
      </c>
      <c r="F75" t="s">
        <v>12</v>
      </c>
      <c r="G75" s="2">
        <v>1</v>
      </c>
      <c r="H75">
        <v>5.8950500000000003E-2</v>
      </c>
      <c r="I75">
        <v>5.8568000000000002E-2</v>
      </c>
      <c r="J75">
        <v>155664</v>
      </c>
      <c r="K75">
        <v>27672</v>
      </c>
      <c r="L75">
        <f t="shared" si="2"/>
        <v>3.7624627402610755E-7</v>
      </c>
    </row>
    <row r="76" spans="2:12" x14ac:dyDescent="0.25">
      <c r="B76">
        <v>2</v>
      </c>
      <c r="C76">
        <v>6</v>
      </c>
      <c r="D76" s="2">
        <v>12</v>
      </c>
      <c r="E76" t="s">
        <v>16</v>
      </c>
      <c r="F76" t="s">
        <v>12</v>
      </c>
      <c r="G76" s="2">
        <v>2</v>
      </c>
      <c r="H76">
        <v>7.47421666667E-2</v>
      </c>
      <c r="I76">
        <v>7.4154999999999999E-2</v>
      </c>
      <c r="J76">
        <v>18216</v>
      </c>
      <c r="K76">
        <v>25967</v>
      </c>
      <c r="L76">
        <f t="shared" si="2"/>
        <v>4.0708717610891526E-6</v>
      </c>
    </row>
    <row r="77" spans="2:12" x14ac:dyDescent="0.25">
      <c r="B77">
        <v>3</v>
      </c>
      <c r="C77">
        <v>6</v>
      </c>
      <c r="D77" s="2">
        <v>8</v>
      </c>
      <c r="E77" t="s">
        <v>16</v>
      </c>
      <c r="F77" t="s">
        <v>12</v>
      </c>
      <c r="G77" s="2">
        <v>4</v>
      </c>
      <c r="H77">
        <v>9.7714999999999996E-2</v>
      </c>
      <c r="I77">
        <v>9.7155000000000005E-2</v>
      </c>
      <c r="J77">
        <v>5040</v>
      </c>
      <c r="K77">
        <v>24310</v>
      </c>
      <c r="L77">
        <f t="shared" si="2"/>
        <v>1.9276785714285714E-5</v>
      </c>
    </row>
    <row r="78" spans="2:12" x14ac:dyDescent="0.25">
      <c r="B78">
        <v>4</v>
      </c>
      <c r="C78">
        <v>6</v>
      </c>
      <c r="D78" s="2">
        <v>6</v>
      </c>
      <c r="E78" t="s">
        <v>16</v>
      </c>
      <c r="F78" t="s">
        <v>12</v>
      </c>
      <c r="G78" s="2">
        <v>6</v>
      </c>
      <c r="H78">
        <v>0.168594333333</v>
      </c>
      <c r="I78">
        <v>0.16719200000000001</v>
      </c>
      <c r="J78">
        <v>1980</v>
      </c>
      <c r="K78">
        <v>22701</v>
      </c>
      <c r="L78">
        <f t="shared" si="2"/>
        <v>8.4440404040404051E-5</v>
      </c>
    </row>
    <row r="79" spans="2:12" x14ac:dyDescent="0.25">
      <c r="B79">
        <v>5</v>
      </c>
      <c r="C79">
        <v>6</v>
      </c>
      <c r="D79" s="2">
        <v>5</v>
      </c>
      <c r="E79" t="s">
        <v>16</v>
      </c>
      <c r="F79" t="s">
        <v>12</v>
      </c>
      <c r="G79" s="2">
        <v>8</v>
      </c>
      <c r="H79">
        <v>0.34724683333299999</v>
      </c>
      <c r="I79">
        <v>0.32019700000000001</v>
      </c>
      <c r="J79">
        <v>1080</v>
      </c>
      <c r="K79">
        <v>24171</v>
      </c>
      <c r="L79">
        <f t="shared" si="2"/>
        <v>2.9647870370370374E-4</v>
      </c>
    </row>
    <row r="80" spans="2:12" x14ac:dyDescent="0.25">
      <c r="B80">
        <v>1</v>
      </c>
      <c r="C80">
        <v>6</v>
      </c>
      <c r="D80" s="2">
        <v>24</v>
      </c>
      <c r="E80" t="s">
        <v>16</v>
      </c>
      <c r="F80" t="s">
        <v>0</v>
      </c>
      <c r="G80" s="2">
        <v>1</v>
      </c>
      <c r="H80">
        <v>5.9007999999999998E-2</v>
      </c>
      <c r="I80">
        <v>5.8596000000000002E-2</v>
      </c>
      <c r="J80">
        <v>155664</v>
      </c>
      <c r="K80">
        <v>27672</v>
      </c>
      <c r="L80">
        <f t="shared" si="2"/>
        <v>3.7642614862781377E-7</v>
      </c>
    </row>
    <row r="81" spans="2:12" x14ac:dyDescent="0.25">
      <c r="B81">
        <v>2</v>
      </c>
      <c r="C81">
        <v>6</v>
      </c>
      <c r="D81" s="2">
        <v>12</v>
      </c>
      <c r="E81" t="s">
        <v>16</v>
      </c>
      <c r="F81" t="s">
        <v>0</v>
      </c>
      <c r="G81" s="2">
        <v>2</v>
      </c>
      <c r="H81">
        <v>1.23016666667E-2</v>
      </c>
      <c r="I81">
        <v>1.196E-2</v>
      </c>
      <c r="J81">
        <v>18216</v>
      </c>
      <c r="K81">
        <v>25967</v>
      </c>
      <c r="L81">
        <f t="shared" si="2"/>
        <v>6.5656565656565657E-7</v>
      </c>
    </row>
    <row r="82" spans="2:12" x14ac:dyDescent="0.25">
      <c r="B82">
        <v>3</v>
      </c>
      <c r="C82">
        <v>6</v>
      </c>
      <c r="D82" s="2">
        <v>8</v>
      </c>
      <c r="E82" t="s">
        <v>16</v>
      </c>
      <c r="F82" t="s">
        <v>0</v>
      </c>
      <c r="G82" s="2">
        <v>4</v>
      </c>
      <c r="H82">
        <v>7.2886666666699997E-3</v>
      </c>
      <c r="I82">
        <v>7.221E-3</v>
      </c>
      <c r="J82">
        <v>5040</v>
      </c>
      <c r="K82">
        <v>24310</v>
      </c>
      <c r="L82">
        <f t="shared" si="2"/>
        <v>1.4327380952380953E-6</v>
      </c>
    </row>
    <row r="83" spans="2:12" x14ac:dyDescent="0.25">
      <c r="B83">
        <v>4</v>
      </c>
      <c r="C83">
        <v>6</v>
      </c>
      <c r="D83" s="2">
        <v>6</v>
      </c>
      <c r="E83" t="s">
        <v>16</v>
      </c>
      <c r="F83" t="s">
        <v>0</v>
      </c>
      <c r="G83" s="2">
        <v>6</v>
      </c>
      <c r="H83">
        <v>6.7841666666699999E-3</v>
      </c>
      <c r="I83">
        <v>6.7380000000000001E-3</v>
      </c>
      <c r="J83">
        <v>1980</v>
      </c>
      <c r="K83">
        <v>22701</v>
      </c>
      <c r="L83">
        <f t="shared" si="2"/>
        <v>3.4030303030303032E-6</v>
      </c>
    </row>
    <row r="84" spans="2:12" x14ac:dyDescent="0.25">
      <c r="B84">
        <v>5</v>
      </c>
      <c r="C84">
        <v>6</v>
      </c>
      <c r="D84" s="2">
        <v>5</v>
      </c>
      <c r="E84" t="s">
        <v>16</v>
      </c>
      <c r="F84" t="s">
        <v>0</v>
      </c>
      <c r="G84" s="2">
        <v>8</v>
      </c>
      <c r="H84">
        <v>8.7541666666699994E-3</v>
      </c>
      <c r="I84">
        <v>8.6560000000000005E-3</v>
      </c>
      <c r="J84">
        <v>1080</v>
      </c>
      <c r="K84">
        <v>24171</v>
      </c>
      <c r="L84">
        <f t="shared" si="2"/>
        <v>8.0148148148148157E-6</v>
      </c>
    </row>
    <row r="85" spans="2:12" x14ac:dyDescent="0.25">
      <c r="B85">
        <v>1</v>
      </c>
      <c r="C85">
        <v>6</v>
      </c>
      <c r="D85" s="2">
        <v>24</v>
      </c>
      <c r="E85" t="s">
        <v>19</v>
      </c>
      <c r="F85" t="s">
        <v>13</v>
      </c>
      <c r="G85" s="2">
        <v>1</v>
      </c>
      <c r="H85">
        <v>6.5956500000000001E-2</v>
      </c>
      <c r="I85">
        <v>6.5522999999999998E-2</v>
      </c>
      <c r="J85">
        <v>155664</v>
      </c>
      <c r="K85">
        <v>27672</v>
      </c>
      <c r="L85">
        <f t="shared" si="2"/>
        <v>4.2092584027135367E-7</v>
      </c>
    </row>
    <row r="86" spans="2:12" x14ac:dyDescent="0.25">
      <c r="B86">
        <v>2</v>
      </c>
      <c r="C86">
        <v>6</v>
      </c>
      <c r="D86" s="2">
        <v>12</v>
      </c>
      <c r="E86" t="s">
        <v>19</v>
      </c>
      <c r="F86" t="s">
        <v>13</v>
      </c>
      <c r="G86" s="2">
        <v>2</v>
      </c>
      <c r="H86">
        <v>4.6137499999999998E-2</v>
      </c>
      <c r="I86">
        <v>4.6043000000000001E-2</v>
      </c>
      <c r="J86">
        <v>18216</v>
      </c>
      <c r="K86">
        <v>25967</v>
      </c>
      <c r="L86">
        <f t="shared" si="2"/>
        <v>2.527613087395696E-6</v>
      </c>
    </row>
    <row r="87" spans="2:12" x14ac:dyDescent="0.25">
      <c r="B87">
        <v>3</v>
      </c>
      <c r="C87">
        <v>6</v>
      </c>
      <c r="D87" s="2">
        <v>8</v>
      </c>
      <c r="E87" t="s">
        <v>19</v>
      </c>
      <c r="F87" t="s">
        <v>13</v>
      </c>
      <c r="G87" s="2">
        <v>4</v>
      </c>
      <c r="H87">
        <v>7.3918333333300001E-2</v>
      </c>
      <c r="I87">
        <v>7.3458999999999997E-2</v>
      </c>
      <c r="J87">
        <v>5040</v>
      </c>
      <c r="K87">
        <v>24310</v>
      </c>
      <c r="L87">
        <f t="shared" si="2"/>
        <v>1.4575198412698411E-5</v>
      </c>
    </row>
    <row r="88" spans="2:12" x14ac:dyDescent="0.25">
      <c r="B88">
        <v>4</v>
      </c>
      <c r="C88">
        <v>6</v>
      </c>
      <c r="D88" s="2">
        <v>6</v>
      </c>
      <c r="E88" t="s">
        <v>19</v>
      </c>
      <c r="F88" t="s">
        <v>13</v>
      </c>
      <c r="G88" s="2">
        <v>6</v>
      </c>
      <c r="H88">
        <v>0.147338166667</v>
      </c>
      <c r="I88">
        <v>0.14663599999999999</v>
      </c>
      <c r="J88">
        <v>1980</v>
      </c>
      <c r="K88">
        <v>22701</v>
      </c>
      <c r="L88">
        <f t="shared" si="2"/>
        <v>7.4058585858585848E-5</v>
      </c>
    </row>
    <row r="89" spans="2:12" x14ac:dyDescent="0.25">
      <c r="B89">
        <v>5</v>
      </c>
      <c r="C89">
        <v>6</v>
      </c>
      <c r="D89" s="2">
        <v>5</v>
      </c>
      <c r="E89" t="s">
        <v>19</v>
      </c>
      <c r="F89" t="s">
        <v>13</v>
      </c>
      <c r="G89" s="2">
        <v>8</v>
      </c>
      <c r="H89">
        <v>0.3274145</v>
      </c>
      <c r="I89">
        <v>0.32333800000000001</v>
      </c>
      <c r="J89">
        <v>1080</v>
      </c>
      <c r="K89">
        <v>24171</v>
      </c>
      <c r="L89">
        <f t="shared" ref="L89:L117" si="3">I89/J89</f>
        <v>2.9938703703703704E-4</v>
      </c>
    </row>
    <row r="90" spans="2:12" x14ac:dyDescent="0.25">
      <c r="B90">
        <v>1</v>
      </c>
      <c r="C90">
        <v>6</v>
      </c>
      <c r="D90" s="2">
        <v>24</v>
      </c>
      <c r="E90" t="s">
        <v>19</v>
      </c>
      <c r="F90" t="s">
        <v>12</v>
      </c>
      <c r="G90" s="2">
        <v>1</v>
      </c>
      <c r="H90">
        <v>6.6173166666700006E-2</v>
      </c>
      <c r="I90">
        <v>6.5609000000000001E-2</v>
      </c>
      <c r="J90">
        <v>155664</v>
      </c>
      <c r="K90">
        <v>27672</v>
      </c>
      <c r="L90">
        <f t="shared" si="3"/>
        <v>4.2147831226230858E-7</v>
      </c>
    </row>
    <row r="91" spans="2:12" x14ac:dyDescent="0.25">
      <c r="B91">
        <v>2</v>
      </c>
      <c r="C91">
        <v>6</v>
      </c>
      <c r="D91" s="2">
        <v>12</v>
      </c>
      <c r="E91" t="s">
        <v>19</v>
      </c>
      <c r="F91" t="s">
        <v>12</v>
      </c>
      <c r="G91" s="2">
        <v>2</v>
      </c>
      <c r="H91">
        <v>8.6513666666700004E-2</v>
      </c>
      <c r="I91">
        <v>7.3964000000000002E-2</v>
      </c>
      <c r="J91">
        <v>18216</v>
      </c>
      <c r="K91">
        <v>25967</v>
      </c>
      <c r="L91">
        <f t="shared" si="3"/>
        <v>4.0603864734299519E-6</v>
      </c>
    </row>
    <row r="92" spans="2:12" x14ac:dyDescent="0.25">
      <c r="B92">
        <v>3</v>
      </c>
      <c r="C92">
        <v>6</v>
      </c>
      <c r="D92" s="2">
        <v>8</v>
      </c>
      <c r="E92" t="s">
        <v>19</v>
      </c>
      <c r="F92" t="s">
        <v>12</v>
      </c>
      <c r="G92" s="2">
        <v>4</v>
      </c>
      <c r="H92">
        <v>9.8099666666700003E-2</v>
      </c>
      <c r="I92">
        <v>9.7740999999999995E-2</v>
      </c>
      <c r="J92">
        <v>5040</v>
      </c>
      <c r="K92">
        <v>24310</v>
      </c>
      <c r="L92">
        <f t="shared" si="3"/>
        <v>1.9393055555555553E-5</v>
      </c>
    </row>
    <row r="93" spans="2:12" x14ac:dyDescent="0.25">
      <c r="B93">
        <v>4</v>
      </c>
      <c r="C93">
        <v>6</v>
      </c>
      <c r="D93" s="2">
        <v>6</v>
      </c>
      <c r="E93" t="s">
        <v>19</v>
      </c>
      <c r="F93" t="s">
        <v>12</v>
      </c>
      <c r="G93" s="2">
        <v>6</v>
      </c>
      <c r="H93">
        <v>0.16818933333300001</v>
      </c>
      <c r="I93">
        <v>0.16639100000000001</v>
      </c>
      <c r="J93">
        <v>1980</v>
      </c>
      <c r="K93">
        <v>22701</v>
      </c>
      <c r="L93">
        <f t="shared" si="3"/>
        <v>8.4035858585858596E-5</v>
      </c>
    </row>
    <row r="94" spans="2:12" x14ac:dyDescent="0.25">
      <c r="B94">
        <v>5</v>
      </c>
      <c r="C94">
        <v>6</v>
      </c>
      <c r="D94" s="2">
        <v>5</v>
      </c>
      <c r="E94" t="s">
        <v>19</v>
      </c>
      <c r="F94" t="s">
        <v>12</v>
      </c>
      <c r="G94" s="2">
        <v>8</v>
      </c>
      <c r="H94">
        <v>0.37691350000000001</v>
      </c>
      <c r="I94">
        <v>0.31963900000000001</v>
      </c>
      <c r="J94">
        <v>1080</v>
      </c>
      <c r="K94">
        <v>24171</v>
      </c>
      <c r="L94">
        <f t="shared" si="3"/>
        <v>2.9596203703703705E-4</v>
      </c>
    </row>
    <row r="95" spans="2:12" x14ac:dyDescent="0.25">
      <c r="B95">
        <v>1</v>
      </c>
      <c r="C95">
        <v>6</v>
      </c>
      <c r="D95" s="2">
        <v>24</v>
      </c>
      <c r="E95" t="s">
        <v>19</v>
      </c>
      <c r="F95" t="s">
        <v>0</v>
      </c>
      <c r="G95" s="2">
        <v>1</v>
      </c>
      <c r="H95">
        <v>5.9070333333300001E-2</v>
      </c>
      <c r="I95">
        <v>5.8716999999999998E-2</v>
      </c>
      <c r="J95">
        <v>155664</v>
      </c>
      <c r="K95">
        <v>27672</v>
      </c>
      <c r="L95">
        <f t="shared" si="3"/>
        <v>3.7720346387090141E-7</v>
      </c>
    </row>
    <row r="96" spans="2:12" x14ac:dyDescent="0.25">
      <c r="B96">
        <v>2</v>
      </c>
      <c r="C96">
        <v>6</v>
      </c>
      <c r="D96" s="2">
        <v>12</v>
      </c>
      <c r="E96" t="s">
        <v>19</v>
      </c>
      <c r="F96" t="s">
        <v>0</v>
      </c>
      <c r="G96" s="2">
        <v>2</v>
      </c>
      <c r="H96">
        <v>1.1192499999999999E-2</v>
      </c>
      <c r="I96">
        <v>1.0869E-2</v>
      </c>
      <c r="J96">
        <v>18216</v>
      </c>
      <c r="K96">
        <v>25967</v>
      </c>
      <c r="L96">
        <f t="shared" si="3"/>
        <v>5.9667325428194996E-7</v>
      </c>
    </row>
    <row r="97" spans="2:12" x14ac:dyDescent="0.25">
      <c r="B97">
        <v>3</v>
      </c>
      <c r="C97">
        <v>6</v>
      </c>
      <c r="D97" s="2">
        <v>8</v>
      </c>
      <c r="E97" t="s">
        <v>19</v>
      </c>
      <c r="F97" t="s">
        <v>0</v>
      </c>
      <c r="G97" s="2">
        <v>4</v>
      </c>
      <c r="H97">
        <v>7.29433333333E-3</v>
      </c>
      <c r="I97">
        <v>7.195E-3</v>
      </c>
      <c r="J97">
        <v>5040</v>
      </c>
      <c r="K97">
        <v>24310</v>
      </c>
      <c r="L97">
        <f t="shared" si="3"/>
        <v>1.427579365079365E-6</v>
      </c>
    </row>
    <row r="98" spans="2:12" x14ac:dyDescent="0.25">
      <c r="B98">
        <v>4</v>
      </c>
      <c r="C98">
        <v>6</v>
      </c>
      <c r="D98" s="2">
        <v>6</v>
      </c>
      <c r="E98" t="s">
        <v>19</v>
      </c>
      <c r="F98" t="s">
        <v>0</v>
      </c>
      <c r="G98" s="2">
        <v>6</v>
      </c>
      <c r="H98">
        <v>7.0140000000000003E-3</v>
      </c>
      <c r="I98">
        <v>6.7679999999999997E-3</v>
      </c>
      <c r="J98">
        <v>1980</v>
      </c>
      <c r="K98">
        <v>22701</v>
      </c>
      <c r="L98">
        <f t="shared" si="3"/>
        <v>3.4181818181818182E-6</v>
      </c>
    </row>
    <row r="99" spans="2:12" x14ac:dyDescent="0.25">
      <c r="B99">
        <v>5</v>
      </c>
      <c r="C99">
        <v>6</v>
      </c>
      <c r="D99" s="2">
        <v>5</v>
      </c>
      <c r="E99" t="s">
        <v>19</v>
      </c>
      <c r="F99" t="s">
        <v>0</v>
      </c>
      <c r="G99" s="2">
        <v>8</v>
      </c>
      <c r="H99">
        <v>8.8234999999999997E-3</v>
      </c>
      <c r="I99">
        <v>8.6840000000000007E-3</v>
      </c>
      <c r="J99">
        <v>1080</v>
      </c>
      <c r="K99">
        <v>24171</v>
      </c>
      <c r="L99">
        <f t="shared" si="3"/>
        <v>8.0407407407407412E-6</v>
      </c>
    </row>
    <row r="100" spans="2:12" x14ac:dyDescent="0.25">
      <c r="B100">
        <v>1</v>
      </c>
      <c r="C100">
        <v>6</v>
      </c>
      <c r="D100" s="2">
        <v>72</v>
      </c>
      <c r="E100" t="s">
        <v>17</v>
      </c>
      <c r="F100" t="s">
        <v>13</v>
      </c>
      <c r="G100" s="2">
        <v>1</v>
      </c>
      <c r="H100">
        <v>1.55225E-2</v>
      </c>
      <c r="I100">
        <v>1.5395000000000001E-2</v>
      </c>
      <c r="J100">
        <v>41472</v>
      </c>
      <c r="K100">
        <v>21025</v>
      </c>
      <c r="L100">
        <f t="shared" si="3"/>
        <v>3.7121431327160495E-7</v>
      </c>
    </row>
    <row r="101" spans="2:12" x14ac:dyDescent="0.25">
      <c r="B101">
        <v>2</v>
      </c>
      <c r="C101">
        <v>6</v>
      </c>
      <c r="D101" s="2">
        <v>36</v>
      </c>
      <c r="E101" t="s">
        <v>17</v>
      </c>
      <c r="F101" t="s">
        <v>13</v>
      </c>
      <c r="G101" s="2">
        <v>2</v>
      </c>
      <c r="H101">
        <v>1.7766666666700001E-2</v>
      </c>
      <c r="I101">
        <v>1.7662000000000001E-2</v>
      </c>
      <c r="J101">
        <v>10368</v>
      </c>
      <c r="K101">
        <v>21025</v>
      </c>
      <c r="L101">
        <f t="shared" si="3"/>
        <v>1.7035108024691359E-6</v>
      </c>
    </row>
    <row r="102" spans="2:12" x14ac:dyDescent="0.25">
      <c r="B102">
        <v>3</v>
      </c>
      <c r="C102">
        <v>6</v>
      </c>
      <c r="D102" s="2">
        <v>25</v>
      </c>
      <c r="E102" t="s">
        <v>17</v>
      </c>
      <c r="F102" t="s">
        <v>13</v>
      </c>
      <c r="G102" s="2">
        <v>4</v>
      </c>
      <c r="H102">
        <v>3.1456833333300002E-2</v>
      </c>
      <c r="I102">
        <v>3.1355000000000001E-2</v>
      </c>
      <c r="J102">
        <v>5000</v>
      </c>
      <c r="K102">
        <v>22801</v>
      </c>
      <c r="L102">
        <f t="shared" si="3"/>
        <v>6.2710000000000006E-6</v>
      </c>
    </row>
    <row r="103" spans="2:12" x14ac:dyDescent="0.25">
      <c r="B103">
        <v>4</v>
      </c>
      <c r="C103">
        <v>6</v>
      </c>
      <c r="D103" s="2">
        <v>18</v>
      </c>
      <c r="E103" t="s">
        <v>17</v>
      </c>
      <c r="F103" t="s">
        <v>13</v>
      </c>
      <c r="G103" s="2">
        <v>6</v>
      </c>
      <c r="H103">
        <v>5.9168666666700002E-2</v>
      </c>
      <c r="I103">
        <v>5.8687999999999997E-2</v>
      </c>
      <c r="J103">
        <v>2592</v>
      </c>
      <c r="K103">
        <v>21025</v>
      </c>
      <c r="L103">
        <f t="shared" si="3"/>
        <v>2.2641975308641973E-5</v>
      </c>
    </row>
    <row r="104" spans="2:12" x14ac:dyDescent="0.25">
      <c r="B104">
        <v>5</v>
      </c>
      <c r="C104">
        <v>6</v>
      </c>
      <c r="D104" s="2">
        <v>15</v>
      </c>
      <c r="E104" t="s">
        <v>17</v>
      </c>
      <c r="F104" t="s">
        <v>13</v>
      </c>
      <c r="G104" s="2">
        <v>8</v>
      </c>
      <c r="H104">
        <v>9.9941666666699999E-2</v>
      </c>
      <c r="I104">
        <v>9.8436999999999997E-2</v>
      </c>
      <c r="J104">
        <v>1800</v>
      </c>
      <c r="K104">
        <v>22801</v>
      </c>
      <c r="L104">
        <f t="shared" si="3"/>
        <v>5.4687222222222218E-5</v>
      </c>
    </row>
    <row r="105" spans="2:12" x14ac:dyDescent="0.25">
      <c r="B105">
        <v>1</v>
      </c>
      <c r="C105">
        <v>6</v>
      </c>
      <c r="D105" s="2">
        <v>72</v>
      </c>
      <c r="E105" t="s">
        <v>17</v>
      </c>
      <c r="F105" t="s">
        <v>12</v>
      </c>
      <c r="G105" s="2">
        <v>1</v>
      </c>
      <c r="H105">
        <v>1.5435166666699999E-2</v>
      </c>
      <c r="I105">
        <v>1.5330999999999999E-2</v>
      </c>
      <c r="J105">
        <v>41472</v>
      </c>
      <c r="K105">
        <v>21025</v>
      </c>
      <c r="L105">
        <f t="shared" si="3"/>
        <v>3.696711033950617E-7</v>
      </c>
    </row>
    <row r="106" spans="2:12" x14ac:dyDescent="0.25">
      <c r="B106">
        <v>2</v>
      </c>
      <c r="C106">
        <v>6</v>
      </c>
      <c r="D106" s="2">
        <v>36</v>
      </c>
      <c r="E106" t="s">
        <v>17</v>
      </c>
      <c r="F106" t="s">
        <v>12</v>
      </c>
      <c r="G106" s="2">
        <v>2</v>
      </c>
      <c r="H106">
        <v>2.7269000000000002E-2</v>
      </c>
      <c r="I106">
        <v>2.6939000000000001E-2</v>
      </c>
      <c r="J106">
        <v>10368</v>
      </c>
      <c r="K106">
        <v>21025</v>
      </c>
      <c r="L106">
        <f t="shared" si="3"/>
        <v>2.5982831790123458E-6</v>
      </c>
    </row>
    <row r="107" spans="2:12" x14ac:dyDescent="0.25">
      <c r="B107">
        <v>3</v>
      </c>
      <c r="C107">
        <v>6</v>
      </c>
      <c r="D107" s="2">
        <v>25</v>
      </c>
      <c r="E107" t="s">
        <v>17</v>
      </c>
      <c r="F107" t="s">
        <v>12</v>
      </c>
      <c r="G107" s="2">
        <v>4</v>
      </c>
      <c r="H107">
        <v>4.4580333333299998E-2</v>
      </c>
      <c r="I107">
        <v>4.4288000000000001E-2</v>
      </c>
      <c r="J107">
        <v>5000</v>
      </c>
      <c r="K107">
        <v>22801</v>
      </c>
      <c r="L107">
        <f t="shared" si="3"/>
        <v>8.8575999999999997E-6</v>
      </c>
    </row>
    <row r="108" spans="2:12" x14ac:dyDescent="0.25">
      <c r="B108">
        <v>4</v>
      </c>
      <c r="C108">
        <v>6</v>
      </c>
      <c r="D108" s="2">
        <v>18</v>
      </c>
      <c r="E108" t="s">
        <v>17</v>
      </c>
      <c r="F108" t="s">
        <v>12</v>
      </c>
      <c r="G108" s="2">
        <v>6</v>
      </c>
      <c r="H108">
        <v>7.26435E-2</v>
      </c>
      <c r="I108">
        <v>7.1711999999999998E-2</v>
      </c>
      <c r="J108">
        <v>2592</v>
      </c>
      <c r="K108">
        <v>21025</v>
      </c>
      <c r="L108">
        <f t="shared" si="3"/>
        <v>2.7666666666666667E-5</v>
      </c>
    </row>
    <row r="109" spans="2:12" x14ac:dyDescent="0.25">
      <c r="B109">
        <v>5</v>
      </c>
      <c r="C109">
        <v>6</v>
      </c>
      <c r="D109" s="2">
        <v>15</v>
      </c>
      <c r="E109" t="s">
        <v>17</v>
      </c>
      <c r="F109" t="s">
        <v>12</v>
      </c>
      <c r="G109" s="2">
        <v>8</v>
      </c>
      <c r="H109">
        <v>0.118065333333</v>
      </c>
      <c r="I109">
        <v>0.116733</v>
      </c>
      <c r="J109">
        <v>1800</v>
      </c>
      <c r="K109">
        <v>22801</v>
      </c>
      <c r="L109">
        <f t="shared" si="3"/>
        <v>6.4851666666666675E-5</v>
      </c>
    </row>
    <row r="110" spans="2:12" x14ac:dyDescent="0.25">
      <c r="B110">
        <v>1</v>
      </c>
      <c r="C110">
        <v>6</v>
      </c>
      <c r="D110" s="2">
        <v>72</v>
      </c>
      <c r="E110" t="s">
        <v>17</v>
      </c>
      <c r="F110" t="s">
        <v>0</v>
      </c>
      <c r="G110" s="2">
        <v>1</v>
      </c>
      <c r="H110">
        <v>1.5765833333299999E-2</v>
      </c>
      <c r="I110">
        <v>1.5398999999999999E-2</v>
      </c>
      <c r="J110">
        <v>41472</v>
      </c>
      <c r="K110">
        <v>21025</v>
      </c>
      <c r="L110">
        <f t="shared" si="3"/>
        <v>3.7131076388888889E-7</v>
      </c>
    </row>
    <row r="111" spans="2:12" x14ac:dyDescent="0.25">
      <c r="B111">
        <v>2</v>
      </c>
      <c r="C111">
        <v>6</v>
      </c>
      <c r="D111" s="2">
        <v>36</v>
      </c>
      <c r="E111" t="s">
        <v>17</v>
      </c>
      <c r="F111" t="s">
        <v>0</v>
      </c>
      <c r="G111" s="2">
        <v>2</v>
      </c>
      <c r="H111">
        <v>6.8783333333300003E-3</v>
      </c>
      <c r="I111">
        <v>6.8630000000000002E-3</v>
      </c>
      <c r="J111">
        <v>10368</v>
      </c>
      <c r="K111">
        <v>21025</v>
      </c>
      <c r="L111">
        <f t="shared" si="3"/>
        <v>6.6194058641975312E-7</v>
      </c>
    </row>
    <row r="112" spans="2:12" x14ac:dyDescent="0.25">
      <c r="B112">
        <v>3</v>
      </c>
      <c r="C112">
        <v>6</v>
      </c>
      <c r="D112" s="2">
        <v>25</v>
      </c>
      <c r="E112" t="s">
        <v>17</v>
      </c>
      <c r="F112" t="s">
        <v>0</v>
      </c>
      <c r="G112" s="2">
        <v>4</v>
      </c>
      <c r="H112">
        <v>7.3138333333300004E-3</v>
      </c>
      <c r="I112">
        <v>7.2709999999999997E-3</v>
      </c>
      <c r="J112">
        <v>5000</v>
      </c>
      <c r="K112">
        <v>22801</v>
      </c>
      <c r="L112">
        <f t="shared" si="3"/>
        <v>1.4542E-6</v>
      </c>
    </row>
    <row r="113" spans="2:12" x14ac:dyDescent="0.25">
      <c r="B113">
        <v>4</v>
      </c>
      <c r="C113">
        <v>6</v>
      </c>
      <c r="D113" s="2">
        <v>18</v>
      </c>
      <c r="E113" t="s">
        <v>17</v>
      </c>
      <c r="F113" t="s">
        <v>0</v>
      </c>
      <c r="G113" s="2">
        <v>6</v>
      </c>
      <c r="H113">
        <v>7.1425000000000004E-3</v>
      </c>
      <c r="I113">
        <v>7.0930000000000003E-3</v>
      </c>
      <c r="J113">
        <v>2592</v>
      </c>
      <c r="K113">
        <v>21025</v>
      </c>
      <c r="L113">
        <f t="shared" si="3"/>
        <v>2.7364969135802469E-6</v>
      </c>
    </row>
    <row r="114" spans="2:12" x14ac:dyDescent="0.25">
      <c r="B114">
        <v>5</v>
      </c>
      <c r="C114">
        <v>6</v>
      </c>
      <c r="D114" s="2">
        <v>15</v>
      </c>
      <c r="E114" t="s">
        <v>17</v>
      </c>
      <c r="F114" t="s">
        <v>0</v>
      </c>
      <c r="G114" s="2">
        <v>8</v>
      </c>
      <c r="H114">
        <v>9.9491666666699993E-3</v>
      </c>
      <c r="I114">
        <v>9.8960000000000003E-3</v>
      </c>
      <c r="J114">
        <v>1800</v>
      </c>
      <c r="K114">
        <v>22801</v>
      </c>
      <c r="L114">
        <f t="shared" si="3"/>
        <v>5.4977777777777781E-6</v>
      </c>
    </row>
    <row r="115" spans="2:12" x14ac:dyDescent="0.25">
      <c r="B115">
        <v>1</v>
      </c>
      <c r="C115">
        <v>6</v>
      </c>
      <c r="D115" s="2">
        <v>72</v>
      </c>
      <c r="E115" t="s">
        <v>15</v>
      </c>
      <c r="F115" t="s">
        <v>13</v>
      </c>
      <c r="G115" s="2">
        <v>1</v>
      </c>
      <c r="H115">
        <v>1.5264833333300001E-2</v>
      </c>
      <c r="I115">
        <v>1.5193999999999999E-2</v>
      </c>
      <c r="J115">
        <v>41472</v>
      </c>
      <c r="K115">
        <v>21025</v>
      </c>
      <c r="L115">
        <f t="shared" si="3"/>
        <v>3.6636766975308638E-7</v>
      </c>
    </row>
    <row r="116" spans="2:12" x14ac:dyDescent="0.25">
      <c r="B116">
        <v>2</v>
      </c>
      <c r="C116">
        <v>6</v>
      </c>
      <c r="D116" s="2">
        <v>36</v>
      </c>
      <c r="E116" t="s">
        <v>15</v>
      </c>
      <c r="F116" t="s">
        <v>13</v>
      </c>
      <c r="G116" s="2">
        <v>2</v>
      </c>
      <c r="H116">
        <v>1.0241666666700001E-2</v>
      </c>
      <c r="I116">
        <v>1.0189E-2</v>
      </c>
      <c r="J116">
        <v>10368</v>
      </c>
      <c r="K116">
        <v>21025</v>
      </c>
      <c r="L116">
        <f t="shared" si="3"/>
        <v>9.8273533950617281E-7</v>
      </c>
    </row>
    <row r="117" spans="2:12" x14ac:dyDescent="0.25">
      <c r="B117">
        <v>3</v>
      </c>
      <c r="C117">
        <v>6</v>
      </c>
      <c r="D117" s="2">
        <v>25</v>
      </c>
      <c r="E117" t="s">
        <v>15</v>
      </c>
      <c r="F117" t="s">
        <v>13</v>
      </c>
      <c r="G117" s="2">
        <v>4</v>
      </c>
      <c r="H117">
        <v>1.45075E-2</v>
      </c>
      <c r="I117">
        <v>1.4411E-2</v>
      </c>
      <c r="J117">
        <v>5000</v>
      </c>
      <c r="K117">
        <v>22801</v>
      </c>
      <c r="L117">
        <f t="shared" si="3"/>
        <v>2.8822000000000001E-6</v>
      </c>
    </row>
    <row r="118" spans="2:12" x14ac:dyDescent="0.25">
      <c r="B118">
        <v>4</v>
      </c>
      <c r="C118">
        <v>6</v>
      </c>
      <c r="D118" s="2">
        <v>18</v>
      </c>
      <c r="E118" t="s">
        <v>15</v>
      </c>
      <c r="F118" t="s">
        <v>13</v>
      </c>
      <c r="G118" s="2">
        <v>6</v>
      </c>
      <c r="H118">
        <v>2.4617E-2</v>
      </c>
      <c r="I118">
        <v>2.4587999999999999E-2</v>
      </c>
      <c r="J118">
        <v>2592</v>
      </c>
      <c r="K118">
        <v>21025</v>
      </c>
    </row>
    <row r="119" spans="2:12" x14ac:dyDescent="0.25">
      <c r="B119">
        <v>5</v>
      </c>
      <c r="C119">
        <v>6</v>
      </c>
      <c r="D119" s="2">
        <v>15</v>
      </c>
      <c r="E119" t="s">
        <v>15</v>
      </c>
      <c r="F119" t="s">
        <v>13</v>
      </c>
      <c r="G119" s="2">
        <v>8</v>
      </c>
      <c r="H119">
        <v>3.7389666666700003E-2</v>
      </c>
      <c r="I119">
        <v>3.7281000000000002E-2</v>
      </c>
      <c r="J119">
        <v>1800</v>
      </c>
      <c r="K119">
        <v>22801</v>
      </c>
    </row>
    <row r="120" spans="2:12" x14ac:dyDescent="0.25">
      <c r="B120">
        <v>1</v>
      </c>
      <c r="C120">
        <v>6</v>
      </c>
      <c r="D120" s="2">
        <v>72</v>
      </c>
      <c r="E120" t="s">
        <v>15</v>
      </c>
      <c r="F120" t="s">
        <v>12</v>
      </c>
      <c r="G120" s="2">
        <v>1</v>
      </c>
      <c r="H120">
        <v>1.52901666667E-2</v>
      </c>
      <c r="I120">
        <v>1.5252999999999999E-2</v>
      </c>
      <c r="J120">
        <v>41472</v>
      </c>
      <c r="K120">
        <v>21025</v>
      </c>
    </row>
    <row r="121" spans="2:12" x14ac:dyDescent="0.25">
      <c r="B121">
        <v>2</v>
      </c>
      <c r="C121">
        <v>6</v>
      </c>
      <c r="D121" s="2">
        <v>36</v>
      </c>
      <c r="E121" t="s">
        <v>15</v>
      </c>
      <c r="F121" t="s">
        <v>12</v>
      </c>
      <c r="G121" s="2">
        <v>2</v>
      </c>
      <c r="H121">
        <v>2.1508166666699999E-2</v>
      </c>
      <c r="I121">
        <v>2.147E-2</v>
      </c>
      <c r="J121">
        <v>10368</v>
      </c>
      <c r="K121">
        <v>21025</v>
      </c>
    </row>
    <row r="122" spans="2:12" x14ac:dyDescent="0.25">
      <c r="B122">
        <v>3</v>
      </c>
      <c r="C122">
        <v>6</v>
      </c>
      <c r="D122" s="2">
        <v>25</v>
      </c>
      <c r="E122" t="s">
        <v>15</v>
      </c>
      <c r="F122" t="s">
        <v>12</v>
      </c>
      <c r="G122" s="2">
        <v>4</v>
      </c>
      <c r="H122">
        <v>2.6352166666700001E-2</v>
      </c>
      <c r="I122">
        <v>2.6003999999999999E-2</v>
      </c>
      <c r="J122">
        <v>5000</v>
      </c>
      <c r="K122">
        <v>22801</v>
      </c>
    </row>
    <row r="123" spans="2:12" x14ac:dyDescent="0.25">
      <c r="B123">
        <v>4</v>
      </c>
      <c r="C123">
        <v>6</v>
      </c>
      <c r="D123" s="2">
        <v>18</v>
      </c>
      <c r="E123" t="s">
        <v>15</v>
      </c>
      <c r="F123" t="s">
        <v>12</v>
      </c>
      <c r="G123" s="2">
        <v>6</v>
      </c>
      <c r="H123">
        <v>3.7190000000000001E-2</v>
      </c>
      <c r="I123">
        <v>3.6885000000000001E-2</v>
      </c>
      <c r="J123">
        <v>2592</v>
      </c>
      <c r="K123">
        <v>21025</v>
      </c>
    </row>
    <row r="124" spans="2:12" x14ac:dyDescent="0.25">
      <c r="B124">
        <v>5</v>
      </c>
      <c r="C124">
        <v>6</v>
      </c>
      <c r="D124" s="2">
        <v>15</v>
      </c>
      <c r="E124" t="s">
        <v>15</v>
      </c>
      <c r="F124" t="s">
        <v>12</v>
      </c>
      <c r="G124" s="2">
        <v>8</v>
      </c>
      <c r="H124">
        <v>5.1573166666699997E-2</v>
      </c>
      <c r="I124">
        <v>5.1475E-2</v>
      </c>
      <c r="J124">
        <v>1800</v>
      </c>
      <c r="K124">
        <v>22801</v>
      </c>
    </row>
    <row r="125" spans="2:12" x14ac:dyDescent="0.25">
      <c r="B125">
        <v>1</v>
      </c>
      <c r="C125">
        <v>6</v>
      </c>
      <c r="D125" s="2">
        <v>72</v>
      </c>
      <c r="E125" t="s">
        <v>15</v>
      </c>
      <c r="F125" t="s">
        <v>0</v>
      </c>
      <c r="G125" s="2">
        <v>1</v>
      </c>
      <c r="H125">
        <v>1.52758333333E-2</v>
      </c>
      <c r="I125">
        <v>1.5247999999999999E-2</v>
      </c>
      <c r="J125">
        <v>41472</v>
      </c>
      <c r="K125">
        <v>21025</v>
      </c>
    </row>
    <row r="126" spans="2:12" x14ac:dyDescent="0.25">
      <c r="B126">
        <v>2</v>
      </c>
      <c r="C126">
        <v>6</v>
      </c>
      <c r="D126" s="2">
        <v>36</v>
      </c>
      <c r="E126" t="s">
        <v>15</v>
      </c>
      <c r="F126" t="s">
        <v>0</v>
      </c>
      <c r="G126" s="2">
        <v>2</v>
      </c>
      <c r="H126">
        <v>3.9143333333299998E-3</v>
      </c>
      <c r="I126">
        <v>3.8790000000000001E-3</v>
      </c>
      <c r="J126">
        <v>10368</v>
      </c>
      <c r="K126">
        <v>21025</v>
      </c>
    </row>
    <row r="127" spans="2:12" x14ac:dyDescent="0.25">
      <c r="B127">
        <v>3</v>
      </c>
      <c r="C127">
        <v>6</v>
      </c>
      <c r="D127" s="2">
        <v>25</v>
      </c>
      <c r="E127" t="s">
        <v>15</v>
      </c>
      <c r="F127" t="s">
        <v>0</v>
      </c>
      <c r="G127" s="2">
        <v>4</v>
      </c>
      <c r="H127">
        <v>2.51716666667E-3</v>
      </c>
      <c r="I127">
        <v>2.4970000000000001E-3</v>
      </c>
      <c r="J127">
        <v>5000</v>
      </c>
      <c r="K127">
        <v>22801</v>
      </c>
    </row>
    <row r="128" spans="2:12" x14ac:dyDescent="0.25">
      <c r="B128">
        <v>4</v>
      </c>
      <c r="C128">
        <v>6</v>
      </c>
      <c r="D128" s="2">
        <v>18</v>
      </c>
      <c r="E128" t="s">
        <v>15</v>
      </c>
      <c r="F128" t="s">
        <v>0</v>
      </c>
      <c r="G128" s="2">
        <v>6</v>
      </c>
      <c r="H128">
        <v>1.926E-3</v>
      </c>
      <c r="I128">
        <v>1.91E-3</v>
      </c>
      <c r="J128">
        <v>2592</v>
      </c>
      <c r="K128">
        <v>21025</v>
      </c>
    </row>
    <row r="129" spans="2:11" x14ac:dyDescent="0.25">
      <c r="B129">
        <v>5</v>
      </c>
      <c r="C129">
        <v>6</v>
      </c>
      <c r="D129" s="2">
        <v>15</v>
      </c>
      <c r="E129" t="s">
        <v>15</v>
      </c>
      <c r="F129" t="s">
        <v>0</v>
      </c>
      <c r="G129" s="2">
        <v>8</v>
      </c>
      <c r="H129">
        <v>2.2985000000000002E-3</v>
      </c>
      <c r="I129">
        <v>2.2799999999999999E-3</v>
      </c>
      <c r="J129">
        <v>1800</v>
      </c>
      <c r="K129">
        <v>22801</v>
      </c>
    </row>
    <row r="130" spans="2:11" x14ac:dyDescent="0.25">
      <c r="B130">
        <v>1</v>
      </c>
      <c r="C130">
        <v>6</v>
      </c>
      <c r="D130" s="2">
        <v>72</v>
      </c>
      <c r="E130" t="s">
        <v>18</v>
      </c>
      <c r="F130" t="s">
        <v>13</v>
      </c>
      <c r="G130" s="2">
        <v>1</v>
      </c>
      <c r="H130">
        <v>1.52763333333E-2</v>
      </c>
      <c r="I130">
        <v>1.5217E-2</v>
      </c>
      <c r="J130">
        <v>41472</v>
      </c>
      <c r="K130">
        <v>21025</v>
      </c>
    </row>
    <row r="131" spans="2:11" x14ac:dyDescent="0.25">
      <c r="B131">
        <v>2</v>
      </c>
      <c r="C131">
        <v>6</v>
      </c>
      <c r="D131" s="2">
        <v>36</v>
      </c>
      <c r="E131" t="s">
        <v>18</v>
      </c>
      <c r="F131" t="s">
        <v>13</v>
      </c>
      <c r="G131" s="2">
        <v>2</v>
      </c>
      <c r="H131">
        <v>1.02465E-2</v>
      </c>
      <c r="I131">
        <v>1.0224E-2</v>
      </c>
      <c r="J131">
        <v>10368</v>
      </c>
      <c r="K131">
        <v>21025</v>
      </c>
    </row>
    <row r="132" spans="2:11" x14ac:dyDescent="0.25">
      <c r="B132">
        <v>3</v>
      </c>
      <c r="C132">
        <v>6</v>
      </c>
      <c r="D132" s="2">
        <v>25</v>
      </c>
      <c r="E132" t="s">
        <v>18</v>
      </c>
      <c r="F132" t="s">
        <v>13</v>
      </c>
      <c r="G132" s="2">
        <v>4</v>
      </c>
      <c r="H132">
        <v>1.4457166666699999E-2</v>
      </c>
      <c r="I132">
        <v>1.4423E-2</v>
      </c>
      <c r="J132">
        <v>5000</v>
      </c>
      <c r="K132">
        <v>22801</v>
      </c>
    </row>
    <row r="133" spans="2:11" x14ac:dyDescent="0.25">
      <c r="B133">
        <v>4</v>
      </c>
      <c r="C133">
        <v>6</v>
      </c>
      <c r="D133" s="2">
        <v>18</v>
      </c>
      <c r="E133" t="s">
        <v>18</v>
      </c>
      <c r="F133" t="s">
        <v>13</v>
      </c>
      <c r="G133" s="2">
        <v>6</v>
      </c>
      <c r="H133">
        <v>2.4229500000000001E-2</v>
      </c>
      <c r="I133">
        <v>2.4188000000000001E-2</v>
      </c>
      <c r="J133">
        <v>2592</v>
      </c>
      <c r="K133">
        <v>21025</v>
      </c>
    </row>
    <row r="134" spans="2:11" x14ac:dyDescent="0.25">
      <c r="B134">
        <v>5</v>
      </c>
      <c r="C134">
        <v>6</v>
      </c>
      <c r="D134" s="2">
        <v>15</v>
      </c>
      <c r="E134" t="s">
        <v>18</v>
      </c>
      <c r="F134" t="s">
        <v>13</v>
      </c>
      <c r="G134" s="2">
        <v>8</v>
      </c>
      <c r="H134">
        <v>3.72343333333E-2</v>
      </c>
      <c r="I134">
        <v>3.7156000000000002E-2</v>
      </c>
      <c r="J134">
        <v>1800</v>
      </c>
      <c r="K134">
        <v>22801</v>
      </c>
    </row>
    <row r="135" spans="2:11" x14ac:dyDescent="0.25">
      <c r="B135">
        <v>1</v>
      </c>
      <c r="C135">
        <v>6</v>
      </c>
      <c r="D135" s="2">
        <v>72</v>
      </c>
      <c r="E135" t="s">
        <v>18</v>
      </c>
      <c r="F135" t="s">
        <v>12</v>
      </c>
      <c r="G135" s="2">
        <v>1</v>
      </c>
      <c r="H135">
        <v>1.52465E-2</v>
      </c>
      <c r="I135">
        <v>1.5191E-2</v>
      </c>
      <c r="J135">
        <v>41472</v>
      </c>
      <c r="K135">
        <v>21025</v>
      </c>
    </row>
    <row r="136" spans="2:11" x14ac:dyDescent="0.25">
      <c r="B136">
        <v>2</v>
      </c>
      <c r="C136">
        <v>6</v>
      </c>
      <c r="D136" s="2">
        <v>36</v>
      </c>
      <c r="E136" t="s">
        <v>18</v>
      </c>
      <c r="F136" t="s">
        <v>12</v>
      </c>
      <c r="G136" s="2">
        <v>2</v>
      </c>
      <c r="H136">
        <v>2.1797833333300001E-2</v>
      </c>
      <c r="I136">
        <v>2.1583000000000001E-2</v>
      </c>
      <c r="J136">
        <v>10368</v>
      </c>
      <c r="K136">
        <v>21025</v>
      </c>
    </row>
    <row r="137" spans="2:11" x14ac:dyDescent="0.25">
      <c r="B137">
        <v>3</v>
      </c>
      <c r="C137">
        <v>6</v>
      </c>
      <c r="D137" s="2">
        <v>25</v>
      </c>
      <c r="E137" t="s">
        <v>18</v>
      </c>
      <c r="F137" t="s">
        <v>12</v>
      </c>
      <c r="G137" s="2">
        <v>4</v>
      </c>
      <c r="H137">
        <v>2.63236666667E-2</v>
      </c>
      <c r="I137">
        <v>2.6120999999999998E-2</v>
      </c>
      <c r="J137">
        <v>5000</v>
      </c>
      <c r="K137">
        <v>22801</v>
      </c>
    </row>
    <row r="138" spans="2:11" x14ac:dyDescent="0.25">
      <c r="B138">
        <v>4</v>
      </c>
      <c r="C138">
        <v>6</v>
      </c>
      <c r="D138" s="2">
        <v>18</v>
      </c>
      <c r="E138" t="s">
        <v>18</v>
      </c>
      <c r="F138" t="s">
        <v>12</v>
      </c>
      <c r="G138" s="2">
        <v>6</v>
      </c>
      <c r="H138">
        <v>3.7141333333299997E-2</v>
      </c>
      <c r="I138">
        <v>3.6924999999999999E-2</v>
      </c>
      <c r="J138">
        <v>2592</v>
      </c>
      <c r="K138">
        <v>21025</v>
      </c>
    </row>
    <row r="139" spans="2:11" x14ac:dyDescent="0.25">
      <c r="B139">
        <v>5</v>
      </c>
      <c r="C139">
        <v>6</v>
      </c>
      <c r="D139" s="2">
        <v>15</v>
      </c>
      <c r="E139" t="s">
        <v>18</v>
      </c>
      <c r="F139" t="s">
        <v>12</v>
      </c>
      <c r="G139" s="2">
        <v>8</v>
      </c>
      <c r="H139">
        <v>5.1736333333300001E-2</v>
      </c>
      <c r="I139">
        <v>5.1511000000000001E-2</v>
      </c>
      <c r="J139">
        <v>1800</v>
      </c>
      <c r="K139">
        <v>22801</v>
      </c>
    </row>
    <row r="140" spans="2:11" x14ac:dyDescent="0.25">
      <c r="B140">
        <v>1</v>
      </c>
      <c r="C140">
        <v>6</v>
      </c>
      <c r="D140" s="2">
        <v>72</v>
      </c>
      <c r="E140" t="s">
        <v>18</v>
      </c>
      <c r="F140" t="s">
        <v>0</v>
      </c>
      <c r="G140" s="2">
        <v>1</v>
      </c>
      <c r="H140">
        <v>1.5285E-2</v>
      </c>
      <c r="I140">
        <v>1.5219999999999999E-2</v>
      </c>
      <c r="J140">
        <v>41472</v>
      </c>
      <c r="K140">
        <v>21025</v>
      </c>
    </row>
    <row r="141" spans="2:11" x14ac:dyDescent="0.25">
      <c r="B141">
        <v>2</v>
      </c>
      <c r="C141">
        <v>6</v>
      </c>
      <c r="D141" s="2">
        <v>36</v>
      </c>
      <c r="E141" t="s">
        <v>18</v>
      </c>
      <c r="F141" t="s">
        <v>0</v>
      </c>
      <c r="G141" s="2">
        <v>2</v>
      </c>
      <c r="H141">
        <v>4.1431666666699998E-3</v>
      </c>
      <c r="I141">
        <v>4.0920000000000002E-3</v>
      </c>
      <c r="J141">
        <v>10368</v>
      </c>
      <c r="K141">
        <v>21025</v>
      </c>
    </row>
    <row r="142" spans="2:11" x14ac:dyDescent="0.25">
      <c r="B142">
        <v>3</v>
      </c>
      <c r="C142">
        <v>6</v>
      </c>
      <c r="D142" s="2">
        <v>25</v>
      </c>
      <c r="E142" t="s">
        <v>18</v>
      </c>
      <c r="F142" t="s">
        <v>0</v>
      </c>
      <c r="G142" s="2">
        <v>4</v>
      </c>
      <c r="H142">
        <v>2.5279999999999999E-3</v>
      </c>
      <c r="I142">
        <v>2.5079999999999998E-3</v>
      </c>
      <c r="J142">
        <v>5000</v>
      </c>
      <c r="K142">
        <v>22801</v>
      </c>
    </row>
    <row r="143" spans="2:11" x14ac:dyDescent="0.25">
      <c r="B143">
        <v>4</v>
      </c>
      <c r="C143">
        <v>6</v>
      </c>
      <c r="D143" s="2">
        <v>18</v>
      </c>
      <c r="E143" t="s">
        <v>18</v>
      </c>
      <c r="F143" t="s">
        <v>0</v>
      </c>
      <c r="G143" s="2">
        <v>6</v>
      </c>
      <c r="H143">
        <v>1.9295E-3</v>
      </c>
      <c r="I143">
        <v>1.92E-3</v>
      </c>
      <c r="J143">
        <v>2592</v>
      </c>
      <c r="K143">
        <v>21025</v>
      </c>
    </row>
    <row r="144" spans="2:11" x14ac:dyDescent="0.25">
      <c r="B144">
        <v>5</v>
      </c>
      <c r="C144">
        <v>6</v>
      </c>
      <c r="D144" s="2">
        <v>15</v>
      </c>
      <c r="E144" t="s">
        <v>18</v>
      </c>
      <c r="F144" t="s">
        <v>0</v>
      </c>
      <c r="G144" s="2">
        <v>8</v>
      </c>
      <c r="H144">
        <v>2.3175000000000001E-3</v>
      </c>
      <c r="I144">
        <v>2.2980000000000001E-3</v>
      </c>
      <c r="J144">
        <v>1800</v>
      </c>
      <c r="K144">
        <v>22801</v>
      </c>
    </row>
  </sheetData>
  <autoFilter ref="B6:L27">
    <sortState ref="B7:L83">
      <sortCondition ref="B6:B27"/>
    </sortState>
  </autoFilter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ComboBox4">
          <controlPr defaultSize="0" autoLine="0" autoPict="0" listFillRange="T7:T10" r:id="rId5">
            <anchor moveWithCells="1">
              <from>
                <xdr:col>15</xdr:col>
                <xdr:colOff>314325</xdr:colOff>
                <xdr:row>3</xdr:row>
                <xdr:rowOff>152400</xdr:rowOff>
              </from>
              <to>
                <xdr:col>17</xdr:col>
                <xdr:colOff>161925</xdr:colOff>
                <xdr:row>3</xdr:row>
                <xdr:rowOff>438150</xdr:rowOff>
              </to>
            </anchor>
          </controlPr>
        </control>
      </mc:Choice>
      <mc:Fallback>
        <control shapeId="1041" r:id="rId4" name="ComboBox4"/>
      </mc:Fallback>
    </mc:AlternateContent>
    <mc:AlternateContent xmlns:mc="http://schemas.openxmlformats.org/markup-compatibility/2006">
      <mc:Choice Requires="x14">
        <control shapeId="1039" r:id="rId6" name="ComboBox3">
          <controlPr defaultSize="0" autoLine="0" autoPict="0" listFillRange="Q7:Q11" r:id="rId7">
            <anchor moveWithCells="1">
              <from>
                <xdr:col>13</xdr:col>
                <xdr:colOff>381000</xdr:colOff>
                <xdr:row>3</xdr:row>
                <xdr:rowOff>200025</xdr:rowOff>
              </from>
              <to>
                <xdr:col>14</xdr:col>
                <xdr:colOff>400050</xdr:colOff>
                <xdr:row>3</xdr:row>
                <xdr:rowOff>590550</xdr:rowOff>
              </to>
            </anchor>
          </controlPr>
        </control>
      </mc:Choice>
      <mc:Fallback>
        <control shapeId="1039" r:id="rId6" name="ComboBox3"/>
      </mc:Fallback>
    </mc:AlternateContent>
    <mc:AlternateContent xmlns:mc="http://schemas.openxmlformats.org/markup-compatibility/2006">
      <mc:Choice Requires="x14">
        <control shapeId="1033" r:id="rId8" name="ComboBox2">
          <controlPr defaultSize="0" autoLine="0" autoPict="0" listFillRange="R7:R12" r:id="rId9">
            <anchor moveWithCells="1">
              <from>
                <xdr:col>8</xdr:col>
                <xdr:colOff>142875</xdr:colOff>
                <xdr:row>3</xdr:row>
                <xdr:rowOff>142875</xdr:rowOff>
              </from>
              <to>
                <xdr:col>10</xdr:col>
                <xdr:colOff>295275</xdr:colOff>
                <xdr:row>3</xdr:row>
                <xdr:rowOff>609600</xdr:rowOff>
              </to>
            </anchor>
          </controlPr>
        </control>
      </mc:Choice>
      <mc:Fallback>
        <control shapeId="1033" r:id="rId8" name="ComboBox2"/>
      </mc:Fallback>
    </mc:AlternateContent>
    <mc:AlternateContent xmlns:mc="http://schemas.openxmlformats.org/markup-compatibility/2006">
      <mc:Choice Requires="x14">
        <control shapeId="1032" r:id="rId10" name="ComboBox1">
          <controlPr defaultSize="0" autoLine="0" listFillRange="Q7:Q11" r:id="rId11">
            <anchor moveWithCells="1">
              <from>
                <xdr:col>6</xdr:col>
                <xdr:colOff>923925</xdr:colOff>
                <xdr:row>3</xdr:row>
                <xdr:rowOff>209550</xdr:rowOff>
              </from>
              <to>
                <xdr:col>7</xdr:col>
                <xdr:colOff>190500</xdr:colOff>
                <xdr:row>3</xdr:row>
                <xdr:rowOff>419100</xdr:rowOff>
              </to>
            </anchor>
          </controlPr>
        </control>
      </mc:Choice>
      <mc:Fallback>
        <control shapeId="1032" r:id="rId10" name="ComboBox1"/>
      </mc:Fallback>
    </mc:AlternateContent>
    <mc:AlternateContent xmlns:mc="http://schemas.openxmlformats.org/markup-compatibility/2006">
      <mc:Choice Requires="x14">
        <control shapeId="1025" r:id="rId12" name="Button 1">
          <controlPr defaultSize="0" print="0" autoFill="0" autoPict="0" macro="[0]!compareIntegrationMethod">
            <anchor moveWithCells="1" sizeWithCells="1">
              <from>
                <xdr:col>6</xdr:col>
                <xdr:colOff>971550</xdr:colOff>
                <xdr:row>0</xdr:row>
                <xdr:rowOff>95250</xdr:rowOff>
              </from>
              <to>
                <xdr:col>11</xdr:col>
                <xdr:colOff>133350</xdr:colOff>
                <xdr:row>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3" name="Button 2">
          <controlPr defaultSize="0" print="0" autoFill="0" autoPict="0" macro="[0]!importBenchFiles">
            <anchor moveWithCells="1" sizeWithCells="1">
              <from>
                <xdr:col>1</xdr:col>
                <xdr:colOff>104775</xdr:colOff>
                <xdr:row>1</xdr:row>
                <xdr:rowOff>19050</xdr:rowOff>
              </from>
              <to>
                <xdr:col>5</xdr:col>
                <xdr:colOff>714375</xdr:colOff>
                <xdr:row>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4" name="Group Box 11">
          <controlPr defaultSize="0" autoFill="0" autoPict="0">
            <anchor moveWithCells="1">
              <from>
                <xdr:col>6</xdr:col>
                <xdr:colOff>561975</xdr:colOff>
                <xdr:row>3</xdr:row>
                <xdr:rowOff>66675</xdr:rowOff>
              </from>
              <to>
                <xdr:col>7</xdr:col>
                <xdr:colOff>552450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5" name="Group Box 12">
          <controlPr defaultSize="0" autoFill="0" autoPict="0">
            <anchor moveWithCells="1">
              <from>
                <xdr:col>7</xdr:col>
                <xdr:colOff>790575</xdr:colOff>
                <xdr:row>3</xdr:row>
                <xdr:rowOff>9525</xdr:rowOff>
              </from>
              <to>
                <xdr:col>10</xdr:col>
                <xdr:colOff>504825</xdr:colOff>
                <xdr:row>3</xdr:row>
                <xdr:rowOff>676275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6" name="Button 14">
          <controlPr defaultSize="0" print="0" autoFill="0" autoPict="0" macro="[0]!compareMassIntegrationMethod">
            <anchor moveWithCells="1" sizeWithCells="1">
              <from>
                <xdr:col>12</xdr:col>
                <xdr:colOff>485775</xdr:colOff>
                <xdr:row>0</xdr:row>
                <xdr:rowOff>114300</xdr:rowOff>
              </from>
              <to>
                <xdr:col>17</xdr:col>
                <xdr:colOff>590550</xdr:colOff>
                <xdr:row>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7" name="Group Box 16">
          <controlPr defaultSize="0" autoFill="0" autoPict="0">
            <anchor moveWithCells="1">
              <from>
                <xdr:col>13</xdr:col>
                <xdr:colOff>19050</xdr:colOff>
                <xdr:row>3</xdr:row>
                <xdr:rowOff>57150</xdr:rowOff>
              </from>
              <to>
                <xdr:col>14</xdr:col>
                <xdr:colOff>466725</xdr:colOff>
                <xdr:row>3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8" name="Group Box 18">
          <controlPr defaultSize="0" autoFill="0" autoPict="0">
            <anchor moveWithCells="1">
              <from>
                <xdr:col>15</xdr:col>
                <xdr:colOff>133350</xdr:colOff>
                <xdr:row>3</xdr:row>
                <xdr:rowOff>0</xdr:rowOff>
              </from>
              <to>
                <xdr:col>17</xdr:col>
                <xdr:colOff>942975</xdr:colOff>
                <xdr:row>3</xdr:row>
                <xdr:rowOff>666750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G28"/>
  <sheetViews>
    <sheetView tabSelected="1" workbookViewId="0">
      <selection activeCell="C14" sqref="C14"/>
    </sheetView>
  </sheetViews>
  <sheetFormatPr defaultRowHeight="15" x14ac:dyDescent="0.25"/>
  <cols>
    <col min="1" max="1" width="9.85546875" customWidth="1"/>
    <col min="2" max="2" width="15.140625" customWidth="1"/>
    <col min="3" max="3" width="13.140625" customWidth="1"/>
    <col min="4" max="4" width="12.7109375" customWidth="1"/>
    <col min="5" max="5" width="11.7109375" customWidth="1"/>
  </cols>
  <sheetData>
    <row r="4" spans="1:7" s="4" customFormat="1" ht="45" x14ac:dyDescent="0.25">
      <c r="A4" s="4" t="s">
        <v>1</v>
      </c>
      <c r="B4" s="1" t="s">
        <v>4</v>
      </c>
      <c r="C4" s="1" t="s">
        <v>5</v>
      </c>
      <c r="D4" s="1" t="s">
        <v>6</v>
      </c>
      <c r="E4" s="1" t="s">
        <v>8</v>
      </c>
      <c r="F4" s="1" t="s">
        <v>10</v>
      </c>
    </row>
    <row r="5" spans="1:7" x14ac:dyDescent="0.25">
      <c r="A5">
        <v>2</v>
      </c>
      <c r="B5" t="s">
        <v>14</v>
      </c>
      <c r="C5" t="s">
        <v>12</v>
      </c>
      <c r="D5">
        <v>2</v>
      </c>
      <c r="E5">
        <v>0.31776399999999999</v>
      </c>
      <c r="F5">
        <v>18216</v>
      </c>
    </row>
    <row r="6" spans="1:7" x14ac:dyDescent="0.25">
      <c r="A6">
        <v>2</v>
      </c>
      <c r="B6" t="s">
        <v>14</v>
      </c>
      <c r="C6" t="s">
        <v>13</v>
      </c>
      <c r="D6">
        <v>2</v>
      </c>
      <c r="E6">
        <v>0.16125500000000001</v>
      </c>
      <c r="F6">
        <v>18216</v>
      </c>
      <c r="G6">
        <f>E6/E5</f>
        <v>0.50746780629649679</v>
      </c>
    </row>
    <row r="7" spans="1:7" x14ac:dyDescent="0.25">
      <c r="A7">
        <v>2</v>
      </c>
      <c r="B7" t="s">
        <v>14</v>
      </c>
      <c r="C7" t="s">
        <v>0</v>
      </c>
      <c r="D7">
        <v>2</v>
      </c>
      <c r="E7">
        <v>5.7546E-2</v>
      </c>
      <c r="F7">
        <v>18216</v>
      </c>
      <c r="G7">
        <f>E5/E7</f>
        <v>5.5219129044590414</v>
      </c>
    </row>
    <row r="9" spans="1:7" x14ac:dyDescent="0.25">
      <c r="A9">
        <f>2.64*2</f>
        <v>5.28</v>
      </c>
    </row>
    <row r="11" spans="1:7" x14ac:dyDescent="0.25">
      <c r="E11">
        <v>2</v>
      </c>
      <c r="F11">
        <v>5.1962626611944449E-5</v>
      </c>
    </row>
    <row r="12" spans="1:7" x14ac:dyDescent="0.25">
      <c r="E12">
        <v>3</v>
      </c>
      <c r="F12">
        <v>5.288129121583334E-5</v>
      </c>
    </row>
    <row r="13" spans="1:7" x14ac:dyDescent="0.25">
      <c r="E13">
        <v>4</v>
      </c>
      <c r="F13">
        <v>5.3830125428968255E-5</v>
      </c>
    </row>
    <row r="14" spans="1:7" x14ac:dyDescent="0.25">
      <c r="E14">
        <v>5</v>
      </c>
      <c r="F14">
        <v>5.698641967333333E-5</v>
      </c>
    </row>
    <row r="15" spans="1:7" x14ac:dyDescent="0.25">
      <c r="E15">
        <v>6</v>
      </c>
      <c r="F15">
        <v>6.5585741127272728E-5</v>
      </c>
    </row>
    <row r="16" spans="1:7" x14ac:dyDescent="0.25">
      <c r="E16">
        <v>7</v>
      </c>
      <c r="F16">
        <v>7.3915310759768016E-5</v>
      </c>
    </row>
    <row r="17" spans="2:6" x14ac:dyDescent="0.25">
      <c r="E17">
        <v>8</v>
      </c>
      <c r="F17">
        <v>8.533398572103174E-5</v>
      </c>
    </row>
    <row r="18" spans="2:6" x14ac:dyDescent="0.25">
      <c r="E18">
        <v>9</v>
      </c>
      <c r="F18">
        <v>9.5320045066176474E-5</v>
      </c>
    </row>
    <row r="19" spans="2:6" x14ac:dyDescent="0.25">
      <c r="E19">
        <v>10</v>
      </c>
      <c r="F19">
        <v>1.1293694728557505E-4</v>
      </c>
    </row>
    <row r="20" spans="2:6" x14ac:dyDescent="0.25">
      <c r="E20">
        <v>11</v>
      </c>
      <c r="F20">
        <v>1.3103141298701298E-4</v>
      </c>
    </row>
    <row r="27" spans="2:6" x14ac:dyDescent="0.25">
      <c r="B27">
        <f>1-0.0136151570872174-0.263112829634638</f>
        <v>0.72327201327814461</v>
      </c>
    </row>
    <row r="28" spans="2:6" x14ac:dyDescent="0.25">
      <c r="B28">
        <f>0.0399227502581674/6</f>
        <v>6.6537917096945662E-3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L144"/>
  <sheetViews>
    <sheetView workbookViewId="0">
      <selection activeCell="D3" sqref="D3"/>
    </sheetView>
  </sheetViews>
  <sheetFormatPr defaultRowHeight="15" x14ac:dyDescent="0.25"/>
  <sheetData>
    <row r="3" spans="2:12" x14ac:dyDescent="0.25">
      <c r="D3" t="s">
        <v>25</v>
      </c>
    </row>
    <row r="5" spans="2:12" ht="60" x14ac:dyDescent="0.25">
      <c r="B5" s="1" t="s">
        <v>1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  <c r="J5" s="1" t="s">
        <v>9</v>
      </c>
      <c r="K5" s="1" t="s">
        <v>10</v>
      </c>
      <c r="L5" s="1" t="s">
        <v>11</v>
      </c>
    </row>
    <row r="6" spans="2:12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2:12" x14ac:dyDescent="0.25">
      <c r="B7">
        <v>1</v>
      </c>
      <c r="C7">
        <v>6</v>
      </c>
      <c r="D7" s="2">
        <v>24</v>
      </c>
      <c r="E7" t="s">
        <v>16</v>
      </c>
      <c r="F7" t="s">
        <v>0</v>
      </c>
      <c r="G7" s="2">
        <v>1</v>
      </c>
      <c r="H7">
        <v>0.132451275595</v>
      </c>
      <c r="I7" s="3">
        <v>0.107494063207</v>
      </c>
      <c r="J7">
        <v>155664</v>
      </c>
      <c r="K7">
        <v>27672</v>
      </c>
      <c r="L7">
        <f t="shared" ref="L7:L70" si="0">I7/J7</f>
        <v>6.9055185018372911E-7</v>
      </c>
    </row>
    <row r="8" spans="2:12" x14ac:dyDescent="0.25">
      <c r="B8">
        <v>1</v>
      </c>
      <c r="C8">
        <v>6</v>
      </c>
      <c r="D8" s="2">
        <v>24</v>
      </c>
      <c r="E8" t="s">
        <v>16</v>
      </c>
      <c r="F8" t="s">
        <v>13</v>
      </c>
      <c r="G8" s="2">
        <v>1</v>
      </c>
      <c r="H8">
        <v>0.123584384825</v>
      </c>
      <c r="I8">
        <v>9.0299696384399997E-2</v>
      </c>
      <c r="J8">
        <v>155664</v>
      </c>
      <c r="K8">
        <v>27672</v>
      </c>
      <c r="L8">
        <f t="shared" si="0"/>
        <v>5.8009364004779518E-7</v>
      </c>
    </row>
    <row r="9" spans="2:12" x14ac:dyDescent="0.25">
      <c r="B9">
        <v>1</v>
      </c>
      <c r="C9">
        <v>6</v>
      </c>
      <c r="D9" s="2">
        <v>24</v>
      </c>
      <c r="E9" t="s">
        <v>16</v>
      </c>
      <c r="F9" t="s">
        <v>12</v>
      </c>
      <c r="G9" s="2">
        <v>1</v>
      </c>
      <c r="H9">
        <v>0.12737587347599999</v>
      </c>
      <c r="I9">
        <v>9.7591108438300003E-2</v>
      </c>
      <c r="J9">
        <v>155664</v>
      </c>
      <c r="K9">
        <v>27672</v>
      </c>
      <c r="L9">
        <f t="shared" si="0"/>
        <v>6.2693434858605719E-7</v>
      </c>
    </row>
    <row r="10" spans="2:12" x14ac:dyDescent="0.25">
      <c r="B10">
        <v>1</v>
      </c>
      <c r="C10">
        <v>6</v>
      </c>
      <c r="D10" s="2">
        <v>24</v>
      </c>
      <c r="E10" t="s">
        <v>19</v>
      </c>
      <c r="F10" t="s">
        <v>0</v>
      </c>
      <c r="G10" s="2">
        <v>1</v>
      </c>
      <c r="H10">
        <v>0.103141618728</v>
      </c>
      <c r="I10">
        <v>9.52293158784E-2</v>
      </c>
      <c r="J10">
        <v>155664</v>
      </c>
      <c r="K10">
        <v>27672</v>
      </c>
      <c r="L10">
        <f t="shared" si="0"/>
        <v>6.1176197372802961E-7</v>
      </c>
    </row>
    <row r="11" spans="2:12" x14ac:dyDescent="0.25">
      <c r="B11">
        <v>1</v>
      </c>
      <c r="C11">
        <v>6</v>
      </c>
      <c r="D11" s="2">
        <v>24</v>
      </c>
      <c r="E11" t="s">
        <v>19</v>
      </c>
      <c r="F11" t="s">
        <v>13</v>
      </c>
      <c r="G11" s="2">
        <v>1</v>
      </c>
      <c r="H11">
        <v>0.10269502084899999</v>
      </c>
      <c r="I11">
        <v>9.4496791451799997E-2</v>
      </c>
      <c r="J11">
        <v>155664</v>
      </c>
      <c r="K11">
        <v>27672</v>
      </c>
      <c r="L11">
        <f t="shared" si="0"/>
        <v>6.0705616874678798E-7</v>
      </c>
    </row>
    <row r="12" spans="2:12" x14ac:dyDescent="0.25">
      <c r="B12">
        <v>1</v>
      </c>
      <c r="C12">
        <v>6</v>
      </c>
      <c r="D12" s="2">
        <v>24</v>
      </c>
      <c r="E12" t="s">
        <v>19</v>
      </c>
      <c r="F12" t="s">
        <v>12</v>
      </c>
      <c r="G12" s="2">
        <v>1</v>
      </c>
      <c r="H12">
        <v>0.103773913641</v>
      </c>
      <c r="I12">
        <v>9.4774671761000004E-2</v>
      </c>
      <c r="J12">
        <v>155664</v>
      </c>
      <c r="K12">
        <v>27672</v>
      </c>
      <c r="L12">
        <f t="shared" si="0"/>
        <v>6.0884129767319361E-7</v>
      </c>
    </row>
    <row r="13" spans="2:12" x14ac:dyDescent="0.25">
      <c r="B13">
        <v>1</v>
      </c>
      <c r="C13">
        <v>6</v>
      </c>
      <c r="D13" s="2">
        <v>24</v>
      </c>
      <c r="E13" t="s">
        <v>14</v>
      </c>
      <c r="F13" t="s">
        <v>0</v>
      </c>
      <c r="G13" s="2">
        <v>1</v>
      </c>
      <c r="H13">
        <v>0.25525929349999998</v>
      </c>
      <c r="I13">
        <v>0.224821896208</v>
      </c>
      <c r="J13">
        <v>155664</v>
      </c>
      <c r="K13">
        <v>27672</v>
      </c>
      <c r="L13">
        <f t="shared" si="0"/>
        <v>1.4442767512591221E-6</v>
      </c>
    </row>
    <row r="14" spans="2:12" x14ac:dyDescent="0.25">
      <c r="B14">
        <v>1</v>
      </c>
      <c r="C14">
        <v>6</v>
      </c>
      <c r="D14" s="2">
        <v>24</v>
      </c>
      <c r="E14" t="s">
        <v>14</v>
      </c>
      <c r="F14" t="s">
        <v>13</v>
      </c>
      <c r="G14" s="2">
        <v>1</v>
      </c>
      <c r="H14">
        <v>0.290629161315</v>
      </c>
      <c r="I14">
        <v>0.22978686846400001</v>
      </c>
      <c r="J14">
        <v>155664</v>
      </c>
      <c r="K14">
        <v>27672</v>
      </c>
      <c r="L14">
        <f t="shared" si="0"/>
        <v>1.4761721943673553E-6</v>
      </c>
    </row>
    <row r="15" spans="2:12" x14ac:dyDescent="0.25">
      <c r="B15">
        <v>1</v>
      </c>
      <c r="C15">
        <v>6</v>
      </c>
      <c r="D15" s="2">
        <v>24</v>
      </c>
      <c r="E15" t="s">
        <v>14</v>
      </c>
      <c r="F15" t="s">
        <v>12</v>
      </c>
      <c r="G15" s="2">
        <v>1</v>
      </c>
      <c r="H15">
        <v>0.272513722003</v>
      </c>
      <c r="I15">
        <v>0.21517477379</v>
      </c>
      <c r="J15">
        <v>155664</v>
      </c>
      <c r="K15">
        <v>27672</v>
      </c>
      <c r="L15">
        <f t="shared" si="0"/>
        <v>1.382302740453798E-6</v>
      </c>
    </row>
    <row r="16" spans="2:12" x14ac:dyDescent="0.25">
      <c r="B16">
        <v>1</v>
      </c>
      <c r="C16">
        <v>6</v>
      </c>
      <c r="D16" s="2">
        <v>24</v>
      </c>
      <c r="E16" t="s">
        <v>20</v>
      </c>
      <c r="F16" t="s">
        <v>13</v>
      </c>
      <c r="G16" s="2">
        <v>1</v>
      </c>
      <c r="H16">
        <v>0.13973894963299999</v>
      </c>
      <c r="I16">
        <v>9.9826695440500005E-2</v>
      </c>
      <c r="J16">
        <v>155664</v>
      </c>
      <c r="K16">
        <v>27672</v>
      </c>
      <c r="L16">
        <f t="shared" si="0"/>
        <v>6.4129596721464184E-7</v>
      </c>
    </row>
    <row r="17" spans="2:12" x14ac:dyDescent="0.25">
      <c r="B17">
        <v>1</v>
      </c>
      <c r="C17">
        <v>6</v>
      </c>
      <c r="D17" s="2">
        <v>24</v>
      </c>
      <c r="E17" t="s">
        <v>23</v>
      </c>
      <c r="F17" t="s">
        <v>13</v>
      </c>
      <c r="G17" s="2">
        <v>1</v>
      </c>
      <c r="H17">
        <v>9.5429964975400003E-2</v>
      </c>
      <c r="I17">
        <v>8.3465589408500004E-2</v>
      </c>
      <c r="J17">
        <v>155664</v>
      </c>
      <c r="K17">
        <v>27672</v>
      </c>
      <c r="L17">
        <f t="shared" si="0"/>
        <v>5.3619070182251514E-7</v>
      </c>
    </row>
    <row r="18" spans="2:12" x14ac:dyDescent="0.25">
      <c r="B18">
        <v>1</v>
      </c>
      <c r="C18">
        <v>6</v>
      </c>
      <c r="D18" s="2">
        <v>72</v>
      </c>
      <c r="E18" t="s">
        <v>15</v>
      </c>
      <c r="F18" t="s">
        <v>0</v>
      </c>
      <c r="G18" s="2">
        <v>1</v>
      </c>
      <c r="H18">
        <v>2.7123044209799999E-2</v>
      </c>
      <c r="I18">
        <v>2.23170960253E-2</v>
      </c>
      <c r="J18">
        <v>41472</v>
      </c>
      <c r="K18">
        <v>21025</v>
      </c>
      <c r="L18">
        <f t="shared" si="0"/>
        <v>5.3812442190634648E-7</v>
      </c>
    </row>
    <row r="19" spans="2:12" x14ac:dyDescent="0.25">
      <c r="B19">
        <v>1</v>
      </c>
      <c r="C19">
        <v>6</v>
      </c>
      <c r="D19" s="2">
        <v>72</v>
      </c>
      <c r="E19" t="s">
        <v>15</v>
      </c>
      <c r="F19" t="s">
        <v>13</v>
      </c>
      <c r="G19" s="2">
        <v>1</v>
      </c>
      <c r="H19">
        <v>2.3215360280799999E-2</v>
      </c>
      <c r="I19">
        <v>2.1026530156900002E-2</v>
      </c>
      <c r="J19">
        <v>41472</v>
      </c>
      <c r="K19">
        <v>21025</v>
      </c>
      <c r="L19">
        <f t="shared" si="0"/>
        <v>5.0700545324315209E-7</v>
      </c>
    </row>
    <row r="20" spans="2:12" x14ac:dyDescent="0.25">
      <c r="B20">
        <v>1</v>
      </c>
      <c r="C20">
        <v>6</v>
      </c>
      <c r="D20" s="2">
        <v>72</v>
      </c>
      <c r="E20" t="s">
        <v>15</v>
      </c>
      <c r="F20" t="s">
        <v>12</v>
      </c>
      <c r="G20" s="2">
        <v>1</v>
      </c>
      <c r="H20">
        <v>2.4711960523499998E-2</v>
      </c>
      <c r="I20">
        <v>2.1679605904100001E-2</v>
      </c>
      <c r="J20">
        <v>41472</v>
      </c>
      <c r="K20">
        <v>21025</v>
      </c>
      <c r="L20">
        <f t="shared" si="0"/>
        <v>5.2275284298080637E-7</v>
      </c>
    </row>
    <row r="21" spans="2:12" x14ac:dyDescent="0.25">
      <c r="B21">
        <v>1</v>
      </c>
      <c r="C21">
        <v>6</v>
      </c>
      <c r="D21" s="2">
        <v>72</v>
      </c>
      <c r="E21" t="s">
        <v>18</v>
      </c>
      <c r="F21" t="s">
        <v>0</v>
      </c>
      <c r="G21" s="2">
        <v>1</v>
      </c>
      <c r="H21">
        <v>2.2792394265100002E-2</v>
      </c>
      <c r="I21">
        <v>2.1052379487900001E-2</v>
      </c>
      <c r="J21">
        <v>41472</v>
      </c>
      <c r="K21">
        <v>21025</v>
      </c>
      <c r="L21">
        <f t="shared" si="0"/>
        <v>5.0762874922598385E-7</v>
      </c>
    </row>
    <row r="22" spans="2:12" x14ac:dyDescent="0.25">
      <c r="B22">
        <v>1</v>
      </c>
      <c r="C22">
        <v>6</v>
      </c>
      <c r="D22" s="2">
        <v>72</v>
      </c>
      <c r="E22" t="s">
        <v>18</v>
      </c>
      <c r="F22" t="s">
        <v>13</v>
      </c>
      <c r="G22" s="2">
        <v>1</v>
      </c>
      <c r="H22">
        <v>2.6997788995200001E-2</v>
      </c>
      <c r="I22">
        <v>2.22315651504E-2</v>
      </c>
      <c r="J22">
        <v>41472</v>
      </c>
      <c r="K22">
        <v>21025</v>
      </c>
      <c r="L22">
        <f t="shared" si="0"/>
        <v>5.3606204548611115E-7</v>
      </c>
    </row>
    <row r="23" spans="2:12" x14ac:dyDescent="0.25">
      <c r="B23">
        <v>1</v>
      </c>
      <c r="C23">
        <v>6</v>
      </c>
      <c r="D23" s="2">
        <v>72</v>
      </c>
      <c r="E23" t="s">
        <v>18</v>
      </c>
      <c r="F23" t="s">
        <v>12</v>
      </c>
      <c r="G23" s="2">
        <v>1</v>
      </c>
      <c r="H23">
        <v>2.3162584563100001E-2</v>
      </c>
      <c r="I23">
        <v>2.12595542739E-2</v>
      </c>
      <c r="J23">
        <v>41472</v>
      </c>
      <c r="K23">
        <v>21025</v>
      </c>
      <c r="L23">
        <f t="shared" si="0"/>
        <v>5.1262428322482633E-7</v>
      </c>
    </row>
    <row r="24" spans="2:12" x14ac:dyDescent="0.25">
      <c r="B24">
        <v>1</v>
      </c>
      <c r="C24">
        <v>6</v>
      </c>
      <c r="D24" s="2">
        <v>72</v>
      </c>
      <c r="E24" t="s">
        <v>17</v>
      </c>
      <c r="F24" t="s">
        <v>0</v>
      </c>
      <c r="G24" s="2">
        <v>1</v>
      </c>
      <c r="H24">
        <v>3.3796669921900002E-2</v>
      </c>
      <c r="I24">
        <v>3.1148063828099998E-2</v>
      </c>
      <c r="J24">
        <v>41472</v>
      </c>
      <c r="K24">
        <v>21025</v>
      </c>
      <c r="L24">
        <f t="shared" si="0"/>
        <v>7.5106249585503466E-7</v>
      </c>
    </row>
    <row r="25" spans="2:12" x14ac:dyDescent="0.25">
      <c r="B25">
        <v>1</v>
      </c>
      <c r="C25">
        <v>6</v>
      </c>
      <c r="D25" s="2">
        <v>72</v>
      </c>
      <c r="E25" t="s">
        <v>17</v>
      </c>
      <c r="F25" t="s">
        <v>13</v>
      </c>
      <c r="G25" s="2">
        <v>1</v>
      </c>
      <c r="H25">
        <v>3.5040985761699998E-2</v>
      </c>
      <c r="I25">
        <v>3.0800238269999999E-2</v>
      </c>
      <c r="J25">
        <v>41472</v>
      </c>
      <c r="K25">
        <v>21025</v>
      </c>
      <c r="L25">
        <f t="shared" si="0"/>
        <v>7.4267549840856481E-7</v>
      </c>
    </row>
    <row r="26" spans="2:12" x14ac:dyDescent="0.25">
      <c r="B26">
        <v>1</v>
      </c>
      <c r="C26">
        <v>6</v>
      </c>
      <c r="D26" s="2">
        <v>72</v>
      </c>
      <c r="E26" t="s">
        <v>17</v>
      </c>
      <c r="F26" t="s">
        <v>12</v>
      </c>
      <c r="G26" s="2">
        <v>1</v>
      </c>
      <c r="H26">
        <v>3.6571734998200003E-2</v>
      </c>
      <c r="I26">
        <v>3.1695081290400003E-2</v>
      </c>
      <c r="J26">
        <v>41472</v>
      </c>
      <c r="K26">
        <v>21025</v>
      </c>
      <c r="L26">
        <f t="shared" si="0"/>
        <v>7.6425253883101854E-7</v>
      </c>
    </row>
    <row r="27" spans="2:12" x14ac:dyDescent="0.25">
      <c r="B27">
        <v>1</v>
      </c>
      <c r="C27">
        <v>6</v>
      </c>
      <c r="D27" s="2">
        <v>72</v>
      </c>
      <c r="E27" t="s">
        <v>21</v>
      </c>
      <c r="F27" t="s">
        <v>13</v>
      </c>
      <c r="G27" s="2">
        <v>1</v>
      </c>
      <c r="H27">
        <v>0.18250647785499999</v>
      </c>
      <c r="I27">
        <v>5.2905217725499998E-2</v>
      </c>
      <c r="J27">
        <v>41472</v>
      </c>
      <c r="K27">
        <v>21025</v>
      </c>
      <c r="L27">
        <f t="shared" si="0"/>
        <v>1.2756852267915702E-6</v>
      </c>
    </row>
    <row r="28" spans="2:12" x14ac:dyDescent="0.25">
      <c r="B28">
        <v>1</v>
      </c>
      <c r="C28">
        <v>6</v>
      </c>
      <c r="D28" s="2">
        <v>72</v>
      </c>
      <c r="E28" t="s">
        <v>24</v>
      </c>
      <c r="F28" t="s">
        <v>13</v>
      </c>
      <c r="G28" s="2">
        <v>1</v>
      </c>
      <c r="H28">
        <v>7.4602500010500006E-2</v>
      </c>
      <c r="I28">
        <v>6.7632113840499997E-2</v>
      </c>
      <c r="J28">
        <v>41472</v>
      </c>
      <c r="K28">
        <v>21025</v>
      </c>
      <c r="L28">
        <f t="shared" si="0"/>
        <v>1.6307897820336612E-6</v>
      </c>
    </row>
    <row r="29" spans="2:12" x14ac:dyDescent="0.25">
      <c r="B29">
        <v>2</v>
      </c>
      <c r="C29">
        <v>6</v>
      </c>
      <c r="D29" s="2">
        <v>12</v>
      </c>
      <c r="E29" t="s">
        <v>16</v>
      </c>
      <c r="F29" t="s">
        <v>0</v>
      </c>
      <c r="G29" s="2">
        <v>2</v>
      </c>
      <c r="H29">
        <v>2.1302192998999998E-2</v>
      </c>
      <c r="I29">
        <v>1.7716675365499999E-2</v>
      </c>
      <c r="J29">
        <v>18216</v>
      </c>
      <c r="K29">
        <v>25967</v>
      </c>
      <c r="L29">
        <f t="shared" si="0"/>
        <v>9.725886783871322E-7</v>
      </c>
    </row>
    <row r="30" spans="2:12" x14ac:dyDescent="0.25">
      <c r="B30">
        <v>2</v>
      </c>
      <c r="C30">
        <v>6</v>
      </c>
      <c r="D30" s="2">
        <v>12</v>
      </c>
      <c r="E30" t="s">
        <v>16</v>
      </c>
      <c r="F30" t="s">
        <v>13</v>
      </c>
      <c r="G30" s="2">
        <v>2</v>
      </c>
      <c r="H30">
        <v>0.128624180757</v>
      </c>
      <c r="I30">
        <v>9.1647662973400004E-2</v>
      </c>
      <c r="J30">
        <v>18216</v>
      </c>
      <c r="K30">
        <v>25967</v>
      </c>
      <c r="L30">
        <f t="shared" si="0"/>
        <v>5.031162877327624E-6</v>
      </c>
    </row>
    <row r="31" spans="2:12" x14ac:dyDescent="0.25">
      <c r="B31">
        <v>2</v>
      </c>
      <c r="C31">
        <v>6</v>
      </c>
      <c r="D31" s="2">
        <v>12</v>
      </c>
      <c r="E31" t="s">
        <v>16</v>
      </c>
      <c r="F31" t="s">
        <v>12</v>
      </c>
      <c r="G31" s="2">
        <v>2</v>
      </c>
      <c r="H31">
        <v>0.17607905435000001</v>
      </c>
      <c r="I31">
        <v>0.12949868643599999</v>
      </c>
      <c r="J31">
        <v>18216</v>
      </c>
      <c r="K31">
        <v>25967</v>
      </c>
      <c r="L31">
        <f t="shared" si="0"/>
        <v>7.1090627160737809E-6</v>
      </c>
    </row>
    <row r="32" spans="2:12" x14ac:dyDescent="0.25">
      <c r="B32">
        <v>2</v>
      </c>
      <c r="C32">
        <v>6</v>
      </c>
      <c r="D32" s="2">
        <v>12</v>
      </c>
      <c r="E32" t="s">
        <v>19</v>
      </c>
      <c r="F32" t="s">
        <v>0</v>
      </c>
      <c r="G32" s="2">
        <v>2</v>
      </c>
      <c r="H32">
        <v>1.7518053666999999E-2</v>
      </c>
      <c r="I32">
        <v>1.7064359892599999E-2</v>
      </c>
      <c r="J32">
        <v>18216</v>
      </c>
      <c r="K32">
        <v>25967</v>
      </c>
      <c r="L32">
        <f t="shared" si="0"/>
        <v>9.3677865023056642E-7</v>
      </c>
    </row>
    <row r="33" spans="2:12" x14ac:dyDescent="0.25">
      <c r="B33">
        <v>2</v>
      </c>
      <c r="C33">
        <v>6</v>
      </c>
      <c r="D33" s="2">
        <v>12</v>
      </c>
      <c r="E33" t="s">
        <v>19</v>
      </c>
      <c r="F33" t="s">
        <v>13</v>
      </c>
      <c r="G33" s="2">
        <v>2</v>
      </c>
      <c r="H33">
        <v>9.4375274253199998E-2</v>
      </c>
      <c r="I33">
        <v>8.6624149585499993E-2</v>
      </c>
      <c r="J33">
        <v>18216</v>
      </c>
      <c r="K33">
        <v>25967</v>
      </c>
      <c r="L33">
        <f t="shared" si="0"/>
        <v>4.7553880975790509E-6</v>
      </c>
    </row>
    <row r="34" spans="2:12" x14ac:dyDescent="0.25">
      <c r="B34">
        <v>2</v>
      </c>
      <c r="C34">
        <v>6</v>
      </c>
      <c r="D34" s="2">
        <v>12</v>
      </c>
      <c r="E34" t="s">
        <v>19</v>
      </c>
      <c r="F34" t="s">
        <v>12</v>
      </c>
      <c r="G34" s="2">
        <v>2</v>
      </c>
      <c r="H34">
        <v>0.139645309164</v>
      </c>
      <c r="I34">
        <v>0.13209502366199999</v>
      </c>
      <c r="J34">
        <v>18216</v>
      </c>
      <c r="K34">
        <v>25967</v>
      </c>
      <c r="L34">
        <f t="shared" si="0"/>
        <v>7.2515933059947291E-6</v>
      </c>
    </row>
    <row r="35" spans="2:12" x14ac:dyDescent="0.25">
      <c r="B35">
        <v>2</v>
      </c>
      <c r="C35">
        <v>6</v>
      </c>
      <c r="D35" s="2">
        <v>12</v>
      </c>
      <c r="E35" t="s">
        <v>14</v>
      </c>
      <c r="F35" t="s">
        <v>0</v>
      </c>
      <c r="G35" s="2">
        <v>2</v>
      </c>
      <c r="H35">
        <v>0.243746964446</v>
      </c>
      <c r="I35">
        <v>0.148244393261</v>
      </c>
      <c r="J35">
        <v>18216</v>
      </c>
      <c r="K35">
        <v>25967</v>
      </c>
      <c r="L35">
        <f t="shared" si="0"/>
        <v>8.1381419225406233E-6</v>
      </c>
    </row>
    <row r="36" spans="2:12" x14ac:dyDescent="0.25">
      <c r="B36">
        <v>2</v>
      </c>
      <c r="C36">
        <v>6</v>
      </c>
      <c r="D36" s="2">
        <v>12</v>
      </c>
      <c r="E36" t="s">
        <v>14</v>
      </c>
      <c r="F36" t="s">
        <v>13</v>
      </c>
      <c r="G36" s="2">
        <v>2</v>
      </c>
      <c r="H36">
        <v>0.702348753853</v>
      </c>
      <c r="I36">
        <v>0.51405044192899996</v>
      </c>
      <c r="J36">
        <v>18216</v>
      </c>
      <c r="K36">
        <v>25967</v>
      </c>
      <c r="L36">
        <f t="shared" si="0"/>
        <v>2.8219721230182255E-5</v>
      </c>
    </row>
    <row r="37" spans="2:12" x14ac:dyDescent="0.25">
      <c r="B37">
        <v>2</v>
      </c>
      <c r="C37">
        <v>6</v>
      </c>
      <c r="D37" s="2">
        <v>12</v>
      </c>
      <c r="E37" t="s">
        <v>14</v>
      </c>
      <c r="F37" t="s">
        <v>12</v>
      </c>
      <c r="G37" s="2">
        <v>2</v>
      </c>
      <c r="H37">
        <v>0.86463395890000005</v>
      </c>
      <c r="I37">
        <v>0.79741993264699995</v>
      </c>
      <c r="J37">
        <v>18216</v>
      </c>
      <c r="K37">
        <v>25967</v>
      </c>
      <c r="L37">
        <f t="shared" si="0"/>
        <v>4.3775797795729029E-5</v>
      </c>
    </row>
    <row r="38" spans="2:12" x14ac:dyDescent="0.25">
      <c r="B38">
        <v>2</v>
      </c>
      <c r="C38">
        <v>6</v>
      </c>
      <c r="D38" s="2">
        <v>12</v>
      </c>
      <c r="E38" t="s">
        <v>20</v>
      </c>
      <c r="F38" t="s">
        <v>0</v>
      </c>
      <c r="G38" s="2">
        <v>4</v>
      </c>
      <c r="H38">
        <v>2.5684668318199998E-2</v>
      </c>
      <c r="I38">
        <v>1.6151270285500001E-2</v>
      </c>
      <c r="J38">
        <v>18216</v>
      </c>
      <c r="K38">
        <v>25967</v>
      </c>
      <c r="L38">
        <f t="shared" si="0"/>
        <v>8.8665295814119462E-7</v>
      </c>
    </row>
    <row r="39" spans="2:12" x14ac:dyDescent="0.25">
      <c r="B39">
        <v>2</v>
      </c>
      <c r="C39">
        <v>6</v>
      </c>
      <c r="D39" s="2">
        <v>12</v>
      </c>
      <c r="E39" t="s">
        <v>20</v>
      </c>
      <c r="F39" t="s">
        <v>22</v>
      </c>
      <c r="G39" s="2">
        <v>4</v>
      </c>
      <c r="H39">
        <v>0.60389219967300001</v>
      </c>
      <c r="I39">
        <v>0.44123211596900003</v>
      </c>
      <c r="J39">
        <v>18216</v>
      </c>
      <c r="K39">
        <v>25967</v>
      </c>
      <c r="L39">
        <f t="shared" si="0"/>
        <v>2.4222228588548531E-5</v>
      </c>
    </row>
    <row r="40" spans="2:12" x14ac:dyDescent="0.25">
      <c r="B40">
        <v>2</v>
      </c>
      <c r="C40">
        <v>6</v>
      </c>
      <c r="D40" s="2">
        <v>12</v>
      </c>
      <c r="E40" t="s">
        <v>20</v>
      </c>
      <c r="F40" t="s">
        <v>13</v>
      </c>
      <c r="G40" s="2">
        <v>4</v>
      </c>
      <c r="H40">
        <v>0.24227393271100001</v>
      </c>
      <c r="I40">
        <v>0.16548969847100001</v>
      </c>
      <c r="J40">
        <v>18216</v>
      </c>
      <c r="K40">
        <v>25967</v>
      </c>
      <c r="L40">
        <f t="shared" si="0"/>
        <v>9.0848538905906897E-6</v>
      </c>
    </row>
    <row r="41" spans="2:12" x14ac:dyDescent="0.25">
      <c r="B41">
        <v>2</v>
      </c>
      <c r="C41">
        <v>6</v>
      </c>
      <c r="D41" s="2">
        <v>12</v>
      </c>
      <c r="E41" t="s">
        <v>23</v>
      </c>
      <c r="F41" t="s">
        <v>0</v>
      </c>
      <c r="G41" s="2">
        <v>2</v>
      </c>
      <c r="H41">
        <v>9.0065911992900007E-3</v>
      </c>
      <c r="I41">
        <v>7.6647068058599997E-3</v>
      </c>
      <c r="J41">
        <v>18216</v>
      </c>
      <c r="K41">
        <v>25967</v>
      </c>
      <c r="L41">
        <f t="shared" si="0"/>
        <v>4.2076783080039525E-7</v>
      </c>
    </row>
    <row r="42" spans="2:12" x14ac:dyDescent="0.25">
      <c r="B42">
        <v>2</v>
      </c>
      <c r="C42">
        <v>6</v>
      </c>
      <c r="D42" s="2">
        <v>12</v>
      </c>
      <c r="E42" t="s">
        <v>23</v>
      </c>
      <c r="F42" t="s">
        <v>22</v>
      </c>
      <c r="G42" s="2">
        <v>2</v>
      </c>
      <c r="H42">
        <v>0.112319335034</v>
      </c>
      <c r="I42">
        <v>0.108227347908</v>
      </c>
      <c r="J42">
        <v>18216</v>
      </c>
      <c r="K42">
        <v>25967</v>
      </c>
      <c r="L42">
        <f t="shared" si="0"/>
        <v>5.9413344262187085E-6</v>
      </c>
    </row>
    <row r="43" spans="2:12" x14ac:dyDescent="0.25">
      <c r="B43">
        <v>2</v>
      </c>
      <c r="C43">
        <v>6</v>
      </c>
      <c r="D43" s="2">
        <v>12</v>
      </c>
      <c r="E43" t="s">
        <v>23</v>
      </c>
      <c r="F43" t="s">
        <v>13</v>
      </c>
      <c r="G43" s="2">
        <v>2</v>
      </c>
      <c r="H43">
        <v>6.0210188007000003E-2</v>
      </c>
      <c r="I43">
        <v>5.4358482324900002E-2</v>
      </c>
      <c r="J43">
        <v>18216</v>
      </c>
      <c r="K43">
        <v>25967</v>
      </c>
      <c r="L43">
        <f t="shared" si="0"/>
        <v>2.9841064078227934E-6</v>
      </c>
    </row>
    <row r="44" spans="2:12" x14ac:dyDescent="0.25">
      <c r="B44">
        <v>2</v>
      </c>
      <c r="C44">
        <v>6</v>
      </c>
      <c r="D44" s="2">
        <v>36</v>
      </c>
      <c r="E44" t="s">
        <v>15</v>
      </c>
      <c r="F44" t="s">
        <v>0</v>
      </c>
      <c r="G44" s="2">
        <v>2</v>
      </c>
      <c r="H44">
        <v>9.9301979361799998E-3</v>
      </c>
      <c r="I44" s="3">
        <v>6.7060007321399998E-3</v>
      </c>
      <c r="J44">
        <v>10368</v>
      </c>
      <c r="K44">
        <v>21025</v>
      </c>
      <c r="L44">
        <f t="shared" si="0"/>
        <v>6.4679791012152777E-7</v>
      </c>
    </row>
    <row r="45" spans="2:12" x14ac:dyDescent="0.25">
      <c r="B45">
        <v>2</v>
      </c>
      <c r="C45">
        <v>6</v>
      </c>
      <c r="D45" s="2">
        <v>36</v>
      </c>
      <c r="E45" t="s">
        <v>15</v>
      </c>
      <c r="F45" t="s">
        <v>13</v>
      </c>
      <c r="G45" s="2">
        <v>2</v>
      </c>
      <c r="H45">
        <v>1.8918669261200002E-2</v>
      </c>
      <c r="I45">
        <v>1.7725798658800002E-2</v>
      </c>
      <c r="J45">
        <v>10368</v>
      </c>
      <c r="K45">
        <v>21025</v>
      </c>
      <c r="L45">
        <f t="shared" si="0"/>
        <v>1.709664222492284E-6</v>
      </c>
    </row>
    <row r="46" spans="2:12" x14ac:dyDescent="0.25">
      <c r="B46">
        <v>2</v>
      </c>
      <c r="C46">
        <v>6</v>
      </c>
      <c r="D46" s="2">
        <v>36</v>
      </c>
      <c r="E46" t="s">
        <v>15</v>
      </c>
      <c r="F46" t="s">
        <v>12</v>
      </c>
      <c r="G46" s="2">
        <v>2</v>
      </c>
      <c r="H46">
        <v>3.7825300843800001E-2</v>
      </c>
      <c r="I46">
        <v>3.4853641467500002E-2</v>
      </c>
      <c r="J46">
        <v>10368</v>
      </c>
      <c r="K46">
        <v>21025</v>
      </c>
      <c r="L46">
        <f t="shared" si="0"/>
        <v>3.3616552341338735E-6</v>
      </c>
    </row>
    <row r="47" spans="2:12" x14ac:dyDescent="0.25">
      <c r="B47">
        <v>2</v>
      </c>
      <c r="C47">
        <v>6</v>
      </c>
      <c r="D47" s="2">
        <v>36</v>
      </c>
      <c r="E47" t="s">
        <v>18</v>
      </c>
      <c r="F47" t="s">
        <v>0</v>
      </c>
      <c r="G47" s="2">
        <v>2</v>
      </c>
      <c r="H47">
        <v>7.4631707220299999E-3</v>
      </c>
      <c r="I47">
        <v>6.0734523948499999E-3</v>
      </c>
      <c r="J47">
        <v>10368</v>
      </c>
      <c r="K47">
        <v>21025</v>
      </c>
      <c r="L47">
        <f t="shared" si="0"/>
        <v>5.8578823252797072E-7</v>
      </c>
    </row>
    <row r="48" spans="2:12" x14ac:dyDescent="0.25">
      <c r="B48">
        <v>2</v>
      </c>
      <c r="C48">
        <v>6</v>
      </c>
      <c r="D48" s="2">
        <v>36</v>
      </c>
      <c r="E48" t="s">
        <v>18</v>
      </c>
      <c r="F48" t="s">
        <v>13</v>
      </c>
      <c r="G48" s="2">
        <v>2</v>
      </c>
      <c r="H48">
        <v>2.2847387449899999E-2</v>
      </c>
      <c r="I48">
        <v>2.20859725944E-2</v>
      </c>
      <c r="J48">
        <v>10368</v>
      </c>
      <c r="K48">
        <v>21025</v>
      </c>
      <c r="L48">
        <f t="shared" si="0"/>
        <v>2.1302056900462963E-6</v>
      </c>
    </row>
    <row r="49" spans="2:12" x14ac:dyDescent="0.25">
      <c r="B49">
        <v>2</v>
      </c>
      <c r="C49">
        <v>6</v>
      </c>
      <c r="D49" s="2">
        <v>36</v>
      </c>
      <c r="E49" t="s">
        <v>18</v>
      </c>
      <c r="F49" t="s">
        <v>12</v>
      </c>
      <c r="G49" s="2">
        <v>2</v>
      </c>
      <c r="H49">
        <v>3.8617760239099998E-2</v>
      </c>
      <c r="I49">
        <v>3.4291038379000001E-2</v>
      </c>
      <c r="J49">
        <v>10368</v>
      </c>
      <c r="K49">
        <v>21025</v>
      </c>
      <c r="L49">
        <f t="shared" si="0"/>
        <v>3.3073918189621914E-6</v>
      </c>
    </row>
    <row r="50" spans="2:12" x14ac:dyDescent="0.25">
      <c r="B50">
        <v>2</v>
      </c>
      <c r="C50">
        <v>6</v>
      </c>
      <c r="D50" s="2">
        <v>36</v>
      </c>
      <c r="E50" t="s">
        <v>17</v>
      </c>
      <c r="F50" t="s">
        <v>0</v>
      </c>
      <c r="G50" s="2">
        <v>2</v>
      </c>
      <c r="H50">
        <v>1.6642661001100002E-2</v>
      </c>
      <c r="I50">
        <v>1.50982901808E-2</v>
      </c>
      <c r="J50">
        <v>10368</v>
      </c>
      <c r="K50">
        <v>21025</v>
      </c>
      <c r="L50">
        <f t="shared" si="0"/>
        <v>1.4562394078703704E-6</v>
      </c>
    </row>
    <row r="51" spans="2:12" x14ac:dyDescent="0.25">
      <c r="B51">
        <v>2</v>
      </c>
      <c r="C51">
        <v>6</v>
      </c>
      <c r="D51" s="2">
        <v>36</v>
      </c>
      <c r="E51" t="s">
        <v>17</v>
      </c>
      <c r="F51" t="s">
        <v>13</v>
      </c>
      <c r="G51" s="2">
        <v>2</v>
      </c>
      <c r="H51">
        <v>4.3714956891800001E-2</v>
      </c>
      <c r="I51">
        <v>4.1670262131200002E-2</v>
      </c>
      <c r="J51">
        <v>10368</v>
      </c>
      <c r="K51">
        <v>21025</v>
      </c>
      <c r="L51">
        <f t="shared" si="0"/>
        <v>4.0191225049382716E-6</v>
      </c>
    </row>
    <row r="52" spans="2:12" x14ac:dyDescent="0.25">
      <c r="B52">
        <v>2</v>
      </c>
      <c r="C52">
        <v>6</v>
      </c>
      <c r="D52" s="2">
        <v>36</v>
      </c>
      <c r="E52" t="s">
        <v>17</v>
      </c>
      <c r="F52" t="s">
        <v>12</v>
      </c>
      <c r="G52" s="2">
        <v>2</v>
      </c>
      <c r="H52">
        <v>5.8085854498400001E-2</v>
      </c>
      <c r="I52">
        <v>5.39958314152E-2</v>
      </c>
      <c r="J52">
        <v>10368</v>
      </c>
      <c r="K52">
        <v>21025</v>
      </c>
      <c r="L52">
        <f t="shared" si="0"/>
        <v>5.2079312707561733E-6</v>
      </c>
    </row>
    <row r="53" spans="2:12" x14ac:dyDescent="0.25">
      <c r="B53">
        <v>2</v>
      </c>
      <c r="C53">
        <v>6</v>
      </c>
      <c r="D53" s="2">
        <v>36</v>
      </c>
      <c r="E53" t="s">
        <v>21</v>
      </c>
      <c r="F53" t="s">
        <v>0</v>
      </c>
      <c r="G53" s="2">
        <v>4</v>
      </c>
      <c r="H53">
        <v>1.49914716214E-2</v>
      </c>
      <c r="I53">
        <v>1.37666694924E-2</v>
      </c>
      <c r="J53">
        <v>10368</v>
      </c>
      <c r="K53">
        <v>21025</v>
      </c>
      <c r="L53">
        <f t="shared" si="0"/>
        <v>1.3278037704861111E-6</v>
      </c>
    </row>
    <row r="54" spans="2:12" x14ac:dyDescent="0.25">
      <c r="B54">
        <v>2</v>
      </c>
      <c r="C54">
        <v>6</v>
      </c>
      <c r="D54" s="2">
        <v>36</v>
      </c>
      <c r="E54" t="s">
        <v>21</v>
      </c>
      <c r="F54" t="s">
        <v>22</v>
      </c>
      <c r="G54" s="2">
        <v>4</v>
      </c>
      <c r="H54">
        <v>2.9138088267100001E-2</v>
      </c>
      <c r="I54">
        <v>2.2939380657600001E-2</v>
      </c>
      <c r="J54">
        <v>10368</v>
      </c>
      <c r="K54">
        <v>21025</v>
      </c>
      <c r="L54">
        <f t="shared" si="0"/>
        <v>2.2125174245370372E-6</v>
      </c>
    </row>
    <row r="55" spans="2:12" x14ac:dyDescent="0.25">
      <c r="B55">
        <v>2</v>
      </c>
      <c r="C55">
        <v>6</v>
      </c>
      <c r="D55" s="2">
        <v>36</v>
      </c>
      <c r="E55" t="s">
        <v>21</v>
      </c>
      <c r="F55" t="s">
        <v>13</v>
      </c>
      <c r="G55" s="2">
        <v>4</v>
      </c>
      <c r="H55">
        <v>3.43847422042E-2</v>
      </c>
      <c r="I55">
        <v>3.25454482559E-2</v>
      </c>
      <c r="J55">
        <v>10368</v>
      </c>
      <c r="K55">
        <v>21025</v>
      </c>
      <c r="L55">
        <f t="shared" si="0"/>
        <v>3.1390285740644292E-6</v>
      </c>
    </row>
    <row r="56" spans="2:12" x14ac:dyDescent="0.25">
      <c r="B56">
        <v>2</v>
      </c>
      <c r="C56">
        <v>6</v>
      </c>
      <c r="D56" s="2">
        <v>36</v>
      </c>
      <c r="E56" t="s">
        <v>24</v>
      </c>
      <c r="F56" t="s">
        <v>0</v>
      </c>
      <c r="G56" s="2">
        <v>2</v>
      </c>
      <c r="H56">
        <v>1.1662039763100001E-2</v>
      </c>
      <c r="I56">
        <v>1.13379727814E-2</v>
      </c>
      <c r="J56">
        <v>10368</v>
      </c>
      <c r="K56">
        <v>21025</v>
      </c>
      <c r="L56">
        <f t="shared" si="0"/>
        <v>1.0935544735146605E-6</v>
      </c>
    </row>
    <row r="57" spans="2:12" x14ac:dyDescent="0.25">
      <c r="B57">
        <v>2</v>
      </c>
      <c r="C57">
        <v>6</v>
      </c>
      <c r="D57" s="2">
        <v>36</v>
      </c>
      <c r="E57" t="s">
        <v>24</v>
      </c>
      <c r="F57" t="s">
        <v>22</v>
      </c>
      <c r="G57" s="2">
        <v>2</v>
      </c>
      <c r="H57">
        <v>1.48574098945E-2</v>
      </c>
      <c r="I57">
        <v>1.3964340847800001E-2</v>
      </c>
      <c r="J57">
        <v>10368</v>
      </c>
      <c r="K57">
        <v>21025</v>
      </c>
      <c r="L57">
        <f t="shared" si="0"/>
        <v>1.3468692947337965E-6</v>
      </c>
    </row>
    <row r="58" spans="2:12" x14ac:dyDescent="0.25">
      <c r="B58">
        <v>2</v>
      </c>
      <c r="C58">
        <v>6</v>
      </c>
      <c r="D58" s="2">
        <v>36</v>
      </c>
      <c r="E58" t="s">
        <v>24</v>
      </c>
      <c r="F58" t="s">
        <v>13</v>
      </c>
      <c r="G58" s="2">
        <v>2</v>
      </c>
      <c r="H58">
        <v>3.4198474965499999E-2</v>
      </c>
      <c r="I58">
        <v>3.02851523343E-2</v>
      </c>
      <c r="J58">
        <v>10368</v>
      </c>
      <c r="K58">
        <v>21025</v>
      </c>
      <c r="L58">
        <f t="shared" si="0"/>
        <v>2.9210216371817128E-6</v>
      </c>
    </row>
    <row r="59" spans="2:12" x14ac:dyDescent="0.25">
      <c r="B59">
        <v>3</v>
      </c>
      <c r="C59">
        <v>6</v>
      </c>
      <c r="D59" s="2">
        <v>8</v>
      </c>
      <c r="E59" t="s">
        <v>16</v>
      </c>
      <c r="F59" t="s">
        <v>0</v>
      </c>
      <c r="G59" s="2">
        <v>4</v>
      </c>
      <c r="H59">
        <v>1.2802831566100001E-2</v>
      </c>
      <c r="I59">
        <v>1.07700477718E-2</v>
      </c>
      <c r="J59">
        <v>5040</v>
      </c>
      <c r="K59">
        <v>24310</v>
      </c>
      <c r="L59">
        <f t="shared" si="0"/>
        <v>2.1369142404365081E-6</v>
      </c>
    </row>
    <row r="60" spans="2:12" x14ac:dyDescent="0.25">
      <c r="B60">
        <v>3</v>
      </c>
      <c r="C60">
        <v>6</v>
      </c>
      <c r="D60" s="2">
        <v>8</v>
      </c>
      <c r="E60" t="s">
        <v>16</v>
      </c>
      <c r="F60" t="s">
        <v>13</v>
      </c>
      <c r="G60" s="2">
        <v>4</v>
      </c>
      <c r="H60">
        <v>0.16964060686599999</v>
      </c>
      <c r="I60">
        <v>0.16335826906799999</v>
      </c>
      <c r="J60">
        <v>5040</v>
      </c>
      <c r="K60">
        <v>24310</v>
      </c>
      <c r="L60">
        <f t="shared" si="0"/>
        <v>3.2412354973809523E-5</v>
      </c>
    </row>
    <row r="61" spans="2:12" x14ac:dyDescent="0.25">
      <c r="B61">
        <v>3</v>
      </c>
      <c r="C61">
        <v>6</v>
      </c>
      <c r="D61" s="2">
        <v>8</v>
      </c>
      <c r="E61" t="s">
        <v>16</v>
      </c>
      <c r="F61" t="s">
        <v>12</v>
      </c>
      <c r="G61" s="2">
        <v>4</v>
      </c>
      <c r="H61">
        <v>0.239380264821</v>
      </c>
      <c r="I61">
        <v>0.17418989906999999</v>
      </c>
      <c r="J61">
        <v>5040</v>
      </c>
      <c r="K61">
        <v>24310</v>
      </c>
      <c r="L61">
        <f t="shared" si="0"/>
        <v>3.4561487910714282E-5</v>
      </c>
    </row>
    <row r="62" spans="2:12" x14ac:dyDescent="0.25">
      <c r="B62">
        <v>3</v>
      </c>
      <c r="C62">
        <v>6</v>
      </c>
      <c r="D62" s="2">
        <v>8</v>
      </c>
      <c r="E62" t="s">
        <v>19</v>
      </c>
      <c r="F62" t="s">
        <v>0</v>
      </c>
      <c r="G62" s="2">
        <v>4</v>
      </c>
      <c r="H62">
        <v>1.1837853228299999E-2</v>
      </c>
      <c r="I62">
        <v>1.1109510311E-2</v>
      </c>
      <c r="J62">
        <v>5040</v>
      </c>
      <c r="K62">
        <v>24310</v>
      </c>
      <c r="L62">
        <f t="shared" si="0"/>
        <v>2.2042679188492061E-6</v>
      </c>
    </row>
    <row r="63" spans="2:12" x14ac:dyDescent="0.25">
      <c r="B63">
        <v>3</v>
      </c>
      <c r="C63">
        <v>6</v>
      </c>
      <c r="D63" s="2">
        <v>8</v>
      </c>
      <c r="E63" t="s">
        <v>19</v>
      </c>
      <c r="F63" t="s">
        <v>13</v>
      </c>
      <c r="G63" s="2">
        <v>4</v>
      </c>
      <c r="H63">
        <v>0.15714746042399999</v>
      </c>
      <c r="I63">
        <v>0.148611605817</v>
      </c>
      <c r="J63">
        <v>5040</v>
      </c>
      <c r="K63">
        <v>24310</v>
      </c>
      <c r="L63">
        <f t="shared" si="0"/>
        <v>2.9486429725595238E-5</v>
      </c>
    </row>
    <row r="64" spans="2:12" x14ac:dyDescent="0.25">
      <c r="B64">
        <v>3</v>
      </c>
      <c r="C64">
        <v>6</v>
      </c>
      <c r="D64" s="2">
        <v>8</v>
      </c>
      <c r="E64" t="s">
        <v>19</v>
      </c>
      <c r="F64" t="s">
        <v>12</v>
      </c>
      <c r="G64" s="2">
        <v>4</v>
      </c>
      <c r="H64">
        <v>0.20400976344399999</v>
      </c>
      <c r="I64">
        <v>0.195498491045</v>
      </c>
      <c r="J64">
        <v>5040</v>
      </c>
      <c r="K64">
        <v>24310</v>
      </c>
      <c r="L64">
        <f t="shared" si="0"/>
        <v>3.8789383143849205E-5</v>
      </c>
    </row>
    <row r="65" spans="2:12" x14ac:dyDescent="0.25">
      <c r="B65">
        <v>3</v>
      </c>
      <c r="C65">
        <v>6</v>
      </c>
      <c r="D65" s="2">
        <v>8</v>
      </c>
      <c r="E65" t="s">
        <v>14</v>
      </c>
      <c r="F65" t="s">
        <v>0</v>
      </c>
      <c r="G65" s="2">
        <v>4</v>
      </c>
      <c r="H65">
        <v>0.205711637787</v>
      </c>
      <c r="I65">
        <v>0.14115369366</v>
      </c>
      <c r="J65">
        <v>5040</v>
      </c>
      <c r="K65">
        <v>24310</v>
      </c>
      <c r="L65">
        <f t="shared" si="0"/>
        <v>2.8006685249999999E-5</v>
      </c>
    </row>
    <row r="66" spans="2:12" x14ac:dyDescent="0.25">
      <c r="B66">
        <v>3</v>
      </c>
      <c r="C66">
        <v>6</v>
      </c>
      <c r="D66" s="2">
        <v>8</v>
      </c>
      <c r="E66" t="s">
        <v>14</v>
      </c>
      <c r="F66" t="s">
        <v>13</v>
      </c>
      <c r="G66" s="2">
        <v>4</v>
      </c>
      <c r="H66">
        <v>1.8919750118100001</v>
      </c>
      <c r="I66">
        <v>1.48507752328</v>
      </c>
      <c r="J66">
        <v>5040</v>
      </c>
      <c r="K66">
        <v>24310</v>
      </c>
      <c r="L66">
        <f t="shared" si="0"/>
        <v>2.9465823874603173E-4</v>
      </c>
    </row>
    <row r="67" spans="2:12" x14ac:dyDescent="0.25">
      <c r="B67">
        <v>3</v>
      </c>
      <c r="C67">
        <v>6</v>
      </c>
      <c r="D67" s="2">
        <v>8</v>
      </c>
      <c r="E67" t="s">
        <v>14</v>
      </c>
      <c r="F67" t="s">
        <v>12</v>
      </c>
      <c r="G67" s="2">
        <v>4</v>
      </c>
      <c r="H67">
        <v>2.3683831889600002</v>
      </c>
      <c r="I67">
        <v>2.1128623610599999</v>
      </c>
      <c r="J67">
        <v>5040</v>
      </c>
      <c r="K67">
        <v>24310</v>
      </c>
      <c r="L67">
        <f t="shared" si="0"/>
        <v>4.1921872243253969E-4</v>
      </c>
    </row>
    <row r="68" spans="2:12" x14ac:dyDescent="0.25">
      <c r="B68">
        <v>3</v>
      </c>
      <c r="C68">
        <v>6</v>
      </c>
      <c r="D68" s="2">
        <v>8</v>
      </c>
      <c r="E68" t="s">
        <v>20</v>
      </c>
      <c r="F68" t="s">
        <v>0</v>
      </c>
      <c r="G68" s="2">
        <v>6</v>
      </c>
      <c r="H68">
        <v>1.26853691646E-2</v>
      </c>
      <c r="I68">
        <v>9.8592389880899998E-3</v>
      </c>
      <c r="J68">
        <v>5040</v>
      </c>
      <c r="K68">
        <v>24310</v>
      </c>
      <c r="L68">
        <f t="shared" si="0"/>
        <v>1.9561982119226192E-6</v>
      </c>
    </row>
    <row r="69" spans="2:12" x14ac:dyDescent="0.25">
      <c r="B69">
        <v>3</v>
      </c>
      <c r="C69">
        <v>6</v>
      </c>
      <c r="D69" s="2">
        <v>8</v>
      </c>
      <c r="E69" t="s">
        <v>20</v>
      </c>
      <c r="F69" t="s">
        <v>22</v>
      </c>
      <c r="G69" s="2">
        <v>6</v>
      </c>
      <c r="H69">
        <v>5.2518805071600001</v>
      </c>
      <c r="I69">
        <v>4.8392342667900001</v>
      </c>
      <c r="J69">
        <v>5040</v>
      </c>
      <c r="K69">
        <v>24310</v>
      </c>
      <c r="L69">
        <f t="shared" si="0"/>
        <v>9.6016552912500002E-4</v>
      </c>
    </row>
    <row r="70" spans="2:12" x14ac:dyDescent="0.25">
      <c r="B70">
        <v>3</v>
      </c>
      <c r="C70">
        <v>6</v>
      </c>
      <c r="D70" s="2">
        <v>8</v>
      </c>
      <c r="E70" t="s">
        <v>20</v>
      </c>
      <c r="F70" t="s">
        <v>13</v>
      </c>
      <c r="G70" s="2">
        <v>6</v>
      </c>
      <c r="H70">
        <v>0.30802709162000003</v>
      </c>
      <c r="I70">
        <v>0.225048077855</v>
      </c>
      <c r="J70">
        <v>5040</v>
      </c>
      <c r="K70">
        <v>24310</v>
      </c>
      <c r="L70">
        <f t="shared" si="0"/>
        <v>4.4652396399801586E-5</v>
      </c>
    </row>
    <row r="71" spans="2:12" x14ac:dyDescent="0.25">
      <c r="B71">
        <v>3</v>
      </c>
      <c r="C71">
        <v>6</v>
      </c>
      <c r="D71" s="2">
        <v>8</v>
      </c>
      <c r="E71" t="s">
        <v>23</v>
      </c>
      <c r="F71" t="s">
        <v>0</v>
      </c>
      <c r="G71" s="2">
        <v>3</v>
      </c>
      <c r="H71">
        <v>4.0093706359500001E-3</v>
      </c>
      <c r="I71">
        <v>3.7021564044199999E-3</v>
      </c>
      <c r="J71">
        <v>5040</v>
      </c>
      <c r="K71">
        <v>24310</v>
      </c>
      <c r="L71">
        <f t="shared" ref="L71:L134" si="1">I71/J71</f>
        <v>7.3455484214682534E-7</v>
      </c>
    </row>
    <row r="72" spans="2:12" x14ac:dyDescent="0.25">
      <c r="B72">
        <v>3</v>
      </c>
      <c r="C72">
        <v>6</v>
      </c>
      <c r="D72" s="2">
        <v>8</v>
      </c>
      <c r="E72" t="s">
        <v>23</v>
      </c>
      <c r="F72" t="s">
        <v>22</v>
      </c>
      <c r="G72" s="2">
        <v>3</v>
      </c>
      <c r="H72">
        <v>0.76403134003299999</v>
      </c>
      <c r="I72">
        <v>0.59455362196600003</v>
      </c>
      <c r="J72">
        <v>5040</v>
      </c>
      <c r="K72">
        <v>24310</v>
      </c>
      <c r="L72">
        <f t="shared" si="1"/>
        <v>1.1796698848531747E-4</v>
      </c>
    </row>
    <row r="73" spans="2:12" x14ac:dyDescent="0.25">
      <c r="B73">
        <v>3</v>
      </c>
      <c r="C73">
        <v>6</v>
      </c>
      <c r="D73" s="2">
        <v>8</v>
      </c>
      <c r="E73" t="s">
        <v>23</v>
      </c>
      <c r="F73" t="s">
        <v>13</v>
      </c>
      <c r="G73" s="2">
        <v>3</v>
      </c>
      <c r="H73">
        <v>4.4246262015699998E-2</v>
      </c>
      <c r="I73">
        <v>3.9390959348500003E-2</v>
      </c>
      <c r="J73">
        <v>5040</v>
      </c>
      <c r="K73">
        <v>24310</v>
      </c>
      <c r="L73">
        <f t="shared" si="1"/>
        <v>7.8156665374007944E-6</v>
      </c>
    </row>
    <row r="74" spans="2:12" x14ac:dyDescent="0.25">
      <c r="B74">
        <v>3</v>
      </c>
      <c r="C74">
        <v>6</v>
      </c>
      <c r="D74" s="2">
        <v>25</v>
      </c>
      <c r="E74" t="s">
        <v>15</v>
      </c>
      <c r="F74" t="s">
        <v>0</v>
      </c>
      <c r="G74" s="2">
        <v>4</v>
      </c>
      <c r="H74">
        <v>6.6474595999700004E-3</v>
      </c>
      <c r="I74">
        <v>4.51184868714E-3</v>
      </c>
      <c r="J74">
        <v>5000</v>
      </c>
      <c r="K74">
        <v>22801</v>
      </c>
      <c r="L74">
        <f t="shared" si="1"/>
        <v>9.0236973742799998E-7</v>
      </c>
    </row>
    <row r="75" spans="2:12" x14ac:dyDescent="0.25">
      <c r="B75">
        <v>3</v>
      </c>
      <c r="C75">
        <v>6</v>
      </c>
      <c r="D75" s="2">
        <v>25</v>
      </c>
      <c r="E75" t="s">
        <v>15</v>
      </c>
      <c r="F75" t="s">
        <v>13</v>
      </c>
      <c r="G75" s="2">
        <v>4</v>
      </c>
      <c r="H75">
        <v>3.0253410876299999E-2</v>
      </c>
      <c r="I75">
        <v>2.8078455761000001E-2</v>
      </c>
      <c r="J75">
        <v>5000</v>
      </c>
      <c r="K75">
        <v>22801</v>
      </c>
      <c r="L75">
        <f t="shared" si="1"/>
        <v>5.6156911522000001E-6</v>
      </c>
    </row>
    <row r="76" spans="2:12" x14ac:dyDescent="0.25">
      <c r="B76">
        <v>3</v>
      </c>
      <c r="C76">
        <v>6</v>
      </c>
      <c r="D76" s="2">
        <v>25</v>
      </c>
      <c r="E76" t="s">
        <v>15</v>
      </c>
      <c r="F76" t="s">
        <v>12</v>
      </c>
      <c r="G76" s="2">
        <v>4</v>
      </c>
      <c r="H76">
        <v>5.8286376883E-2</v>
      </c>
      <c r="I76">
        <v>5.0208904410300001E-2</v>
      </c>
      <c r="J76">
        <v>5000</v>
      </c>
      <c r="K76">
        <v>22801</v>
      </c>
      <c r="L76">
        <f t="shared" si="1"/>
        <v>1.004178088206E-5</v>
      </c>
    </row>
    <row r="77" spans="2:12" x14ac:dyDescent="0.25">
      <c r="B77">
        <v>3</v>
      </c>
      <c r="C77">
        <v>6</v>
      </c>
      <c r="D77" s="2">
        <v>25</v>
      </c>
      <c r="E77" t="s">
        <v>18</v>
      </c>
      <c r="F77" t="s">
        <v>0</v>
      </c>
      <c r="G77" s="2">
        <v>4</v>
      </c>
      <c r="H77">
        <v>4.58103366153E-3</v>
      </c>
      <c r="I77">
        <v>4.0191908475100003E-3</v>
      </c>
      <c r="J77">
        <v>5000</v>
      </c>
      <c r="K77">
        <v>22801</v>
      </c>
      <c r="L77">
        <f t="shared" si="1"/>
        <v>8.0383816950200001E-7</v>
      </c>
    </row>
    <row r="78" spans="2:12" x14ac:dyDescent="0.25">
      <c r="B78">
        <v>3</v>
      </c>
      <c r="C78">
        <v>6</v>
      </c>
      <c r="D78" s="2">
        <v>25</v>
      </c>
      <c r="E78" t="s">
        <v>18</v>
      </c>
      <c r="F78" t="s">
        <v>13</v>
      </c>
      <c r="G78" s="2">
        <v>4</v>
      </c>
      <c r="H78">
        <v>3.2398335150999998E-2</v>
      </c>
      <c r="I78">
        <v>2.7494945125299999E-2</v>
      </c>
      <c r="J78">
        <v>5000</v>
      </c>
      <c r="K78">
        <v>22801</v>
      </c>
      <c r="L78">
        <f t="shared" si="1"/>
        <v>5.4989890250600001E-6</v>
      </c>
    </row>
    <row r="79" spans="2:12" x14ac:dyDescent="0.25">
      <c r="B79">
        <v>3</v>
      </c>
      <c r="C79">
        <v>6</v>
      </c>
      <c r="D79" s="2">
        <v>25</v>
      </c>
      <c r="E79" t="s">
        <v>18</v>
      </c>
      <c r="F79" t="s">
        <v>12</v>
      </c>
      <c r="G79" s="2">
        <v>4</v>
      </c>
      <c r="H79">
        <v>5.3882297098300003E-2</v>
      </c>
      <c r="I79">
        <v>4.8587239021500001E-2</v>
      </c>
      <c r="J79">
        <v>5000</v>
      </c>
      <c r="K79">
        <v>22801</v>
      </c>
      <c r="L79">
        <f t="shared" si="1"/>
        <v>9.7174478042999993E-6</v>
      </c>
    </row>
    <row r="80" spans="2:12" x14ac:dyDescent="0.25">
      <c r="B80">
        <v>3</v>
      </c>
      <c r="C80">
        <v>6</v>
      </c>
      <c r="D80" s="2">
        <v>25</v>
      </c>
      <c r="E80" t="s">
        <v>17</v>
      </c>
      <c r="F80" t="s">
        <v>0</v>
      </c>
      <c r="G80" s="2">
        <v>4</v>
      </c>
      <c r="H80">
        <v>1.8337882942300002E-2</v>
      </c>
      <c r="I80">
        <v>1.6095770251100001E-2</v>
      </c>
      <c r="J80">
        <v>5000</v>
      </c>
      <c r="K80">
        <v>22801</v>
      </c>
      <c r="L80">
        <f t="shared" si="1"/>
        <v>3.2191540502200003E-6</v>
      </c>
    </row>
    <row r="81" spans="2:12" x14ac:dyDescent="0.25">
      <c r="B81">
        <v>3</v>
      </c>
      <c r="C81">
        <v>6</v>
      </c>
      <c r="D81" s="2">
        <v>25</v>
      </c>
      <c r="E81" t="s">
        <v>17</v>
      </c>
      <c r="F81" t="s">
        <v>13</v>
      </c>
      <c r="G81" s="2">
        <v>4</v>
      </c>
      <c r="H81">
        <v>8.8484287724800006E-2</v>
      </c>
      <c r="I81">
        <v>8.37723601466E-2</v>
      </c>
      <c r="J81">
        <v>5000</v>
      </c>
      <c r="K81">
        <v>22801</v>
      </c>
      <c r="L81">
        <f t="shared" si="1"/>
        <v>1.6754472029319998E-5</v>
      </c>
    </row>
    <row r="82" spans="2:12" x14ac:dyDescent="0.25">
      <c r="B82">
        <v>3</v>
      </c>
      <c r="C82">
        <v>6</v>
      </c>
      <c r="D82" s="2">
        <v>25</v>
      </c>
      <c r="E82" t="s">
        <v>17</v>
      </c>
      <c r="F82" t="s">
        <v>12</v>
      </c>
      <c r="G82" s="2">
        <v>4</v>
      </c>
      <c r="H82">
        <v>9.9366982826799996E-2</v>
      </c>
      <c r="I82">
        <v>9.2636780024900001E-2</v>
      </c>
      <c r="J82">
        <v>5000</v>
      </c>
      <c r="K82">
        <v>22801</v>
      </c>
      <c r="L82">
        <f t="shared" si="1"/>
        <v>1.8527356004979999E-5</v>
      </c>
    </row>
    <row r="83" spans="2:12" x14ac:dyDescent="0.25">
      <c r="B83">
        <v>3</v>
      </c>
      <c r="C83">
        <v>6</v>
      </c>
      <c r="D83" s="2">
        <v>25</v>
      </c>
      <c r="E83" t="s">
        <v>21</v>
      </c>
      <c r="F83" t="s">
        <v>0</v>
      </c>
      <c r="G83" s="2">
        <v>6</v>
      </c>
      <c r="H83">
        <v>9.1269679862400008E-3</v>
      </c>
      <c r="I83">
        <v>8.2801489681700001E-3</v>
      </c>
      <c r="J83">
        <v>5000</v>
      </c>
      <c r="K83">
        <v>22801</v>
      </c>
      <c r="L83">
        <f t="shared" si="1"/>
        <v>1.656029793634E-6</v>
      </c>
    </row>
    <row r="84" spans="2:12" x14ac:dyDescent="0.25">
      <c r="B84">
        <v>3</v>
      </c>
      <c r="C84">
        <v>6</v>
      </c>
      <c r="D84" s="2">
        <v>25</v>
      </c>
      <c r="E84" t="s">
        <v>21</v>
      </c>
      <c r="F84" t="s">
        <v>22</v>
      </c>
      <c r="G84" s="2">
        <v>6</v>
      </c>
      <c r="H84">
        <v>5.2897488268600003E-2</v>
      </c>
      <c r="I84">
        <v>4.8617649999300003E-2</v>
      </c>
      <c r="J84">
        <v>5000</v>
      </c>
      <c r="K84">
        <v>22801</v>
      </c>
      <c r="L84">
        <f t="shared" si="1"/>
        <v>9.7235299998600004E-6</v>
      </c>
    </row>
    <row r="85" spans="2:12" x14ac:dyDescent="0.25">
      <c r="B85">
        <v>3</v>
      </c>
      <c r="C85">
        <v>6</v>
      </c>
      <c r="D85" s="2">
        <v>25</v>
      </c>
      <c r="E85" t="s">
        <v>21</v>
      </c>
      <c r="F85" t="s">
        <v>13</v>
      </c>
      <c r="G85" s="2">
        <v>6</v>
      </c>
      <c r="H85">
        <v>5.06141306889E-2</v>
      </c>
      <c r="I85">
        <v>4.8521855419400003E-2</v>
      </c>
      <c r="J85">
        <v>5000</v>
      </c>
      <c r="K85">
        <v>22801</v>
      </c>
      <c r="L85">
        <f t="shared" si="1"/>
        <v>9.7043710838800012E-6</v>
      </c>
    </row>
    <row r="86" spans="2:12" x14ac:dyDescent="0.25">
      <c r="B86">
        <v>3</v>
      </c>
      <c r="C86">
        <v>6</v>
      </c>
      <c r="D86" s="2">
        <v>25</v>
      </c>
      <c r="E86" t="s">
        <v>24</v>
      </c>
      <c r="F86" t="s">
        <v>0</v>
      </c>
      <c r="G86" s="2">
        <v>3</v>
      </c>
      <c r="H86">
        <v>6.7949528420800003E-3</v>
      </c>
      <c r="I86">
        <v>6.44788755845E-3</v>
      </c>
      <c r="J86">
        <v>5000</v>
      </c>
      <c r="K86">
        <v>22801</v>
      </c>
      <c r="L86">
        <f t="shared" si="1"/>
        <v>1.28957751169E-6</v>
      </c>
    </row>
    <row r="87" spans="2:12" x14ac:dyDescent="0.25">
      <c r="B87">
        <v>3</v>
      </c>
      <c r="C87">
        <v>6</v>
      </c>
      <c r="D87" s="2">
        <v>25</v>
      </c>
      <c r="E87" t="s">
        <v>24</v>
      </c>
      <c r="F87" t="s">
        <v>22</v>
      </c>
      <c r="G87" s="2">
        <v>3</v>
      </c>
      <c r="H87">
        <v>1.5370278363100001E-2</v>
      </c>
      <c r="I87">
        <v>1.45105980357E-2</v>
      </c>
      <c r="J87">
        <v>5000</v>
      </c>
      <c r="K87">
        <v>22801</v>
      </c>
      <c r="L87">
        <f t="shared" si="1"/>
        <v>2.9021196071399999E-6</v>
      </c>
    </row>
    <row r="88" spans="2:12" x14ac:dyDescent="0.25">
      <c r="B88">
        <v>3</v>
      </c>
      <c r="C88">
        <v>6</v>
      </c>
      <c r="D88" s="2">
        <v>25</v>
      </c>
      <c r="E88" t="s">
        <v>24</v>
      </c>
      <c r="F88" t="s">
        <v>13</v>
      </c>
      <c r="G88" s="2">
        <v>3</v>
      </c>
      <c r="H88">
        <v>2.41506879153E-2</v>
      </c>
      <c r="I88">
        <v>1.7731880854400001E-2</v>
      </c>
      <c r="J88">
        <v>5000</v>
      </c>
      <c r="K88">
        <v>22801</v>
      </c>
      <c r="L88">
        <f t="shared" si="1"/>
        <v>3.5463761708800001E-6</v>
      </c>
    </row>
    <row r="89" spans="2:12" x14ac:dyDescent="0.25">
      <c r="B89">
        <v>4</v>
      </c>
      <c r="C89">
        <v>6</v>
      </c>
      <c r="D89" s="2">
        <v>6</v>
      </c>
      <c r="E89" t="s">
        <v>16</v>
      </c>
      <c r="F89" t="s">
        <v>0</v>
      </c>
      <c r="G89" s="2">
        <v>6</v>
      </c>
      <c r="H89">
        <v>1.2562774910500001E-2</v>
      </c>
      <c r="I89">
        <v>1.15120756291E-2</v>
      </c>
      <c r="J89">
        <v>1980</v>
      </c>
      <c r="K89">
        <v>22701</v>
      </c>
      <c r="L89">
        <f t="shared" si="1"/>
        <v>5.8141796106565654E-6</v>
      </c>
    </row>
    <row r="90" spans="2:12" x14ac:dyDescent="0.25">
      <c r="B90">
        <v>4</v>
      </c>
      <c r="C90">
        <v>6</v>
      </c>
      <c r="D90" s="2">
        <v>6</v>
      </c>
      <c r="E90" t="s">
        <v>16</v>
      </c>
      <c r="F90" t="s">
        <v>13</v>
      </c>
      <c r="G90" s="2">
        <v>6</v>
      </c>
      <c r="H90">
        <v>0.46258600763000002</v>
      </c>
      <c r="I90">
        <v>0.37297505653599999</v>
      </c>
      <c r="J90">
        <v>1980</v>
      </c>
      <c r="K90">
        <v>22701</v>
      </c>
      <c r="L90">
        <f t="shared" si="1"/>
        <v>1.8837124067474747E-4</v>
      </c>
    </row>
    <row r="91" spans="2:12" x14ac:dyDescent="0.25">
      <c r="B91">
        <v>4</v>
      </c>
      <c r="C91">
        <v>6</v>
      </c>
      <c r="D91" s="2">
        <v>6</v>
      </c>
      <c r="E91" t="s">
        <v>16</v>
      </c>
      <c r="F91" t="s">
        <v>12</v>
      </c>
      <c r="G91" s="2">
        <v>6</v>
      </c>
      <c r="H91">
        <v>0.47754174635300001</v>
      </c>
      <c r="I91">
        <v>0.396009851636</v>
      </c>
      <c r="J91">
        <v>1980</v>
      </c>
      <c r="K91">
        <v>22701</v>
      </c>
      <c r="L91">
        <f t="shared" si="1"/>
        <v>2.0000497557373737E-4</v>
      </c>
    </row>
    <row r="92" spans="2:12" x14ac:dyDescent="0.25">
      <c r="B92">
        <v>4</v>
      </c>
      <c r="C92">
        <v>6</v>
      </c>
      <c r="D92" s="2">
        <v>6</v>
      </c>
      <c r="E92" t="s">
        <v>19</v>
      </c>
      <c r="F92" t="s">
        <v>0</v>
      </c>
      <c r="G92" s="2">
        <v>6</v>
      </c>
      <c r="H92">
        <v>1.25325540013E-2</v>
      </c>
      <c r="I92">
        <v>1.1652726401200001E-2</v>
      </c>
      <c r="J92">
        <v>1980</v>
      </c>
      <c r="K92">
        <v>22701</v>
      </c>
      <c r="L92">
        <f t="shared" si="1"/>
        <v>5.8852153541414143E-6</v>
      </c>
    </row>
    <row r="93" spans="2:12" x14ac:dyDescent="0.25">
      <c r="B93">
        <v>4</v>
      </c>
      <c r="C93">
        <v>6</v>
      </c>
      <c r="D93" s="2">
        <v>6</v>
      </c>
      <c r="E93" t="s">
        <v>19</v>
      </c>
      <c r="F93" t="s">
        <v>13</v>
      </c>
      <c r="G93" s="2">
        <v>6</v>
      </c>
      <c r="H93">
        <v>0.30568113811100001</v>
      </c>
      <c r="I93">
        <v>0.29690351623099998</v>
      </c>
      <c r="J93">
        <v>1980</v>
      </c>
      <c r="K93">
        <v>22701</v>
      </c>
      <c r="L93">
        <f t="shared" si="1"/>
        <v>1.4995127082373735E-4</v>
      </c>
    </row>
    <row r="94" spans="2:12" x14ac:dyDescent="0.25">
      <c r="B94">
        <v>4</v>
      </c>
      <c r="C94">
        <v>6</v>
      </c>
      <c r="D94" s="2">
        <v>6</v>
      </c>
      <c r="E94" t="s">
        <v>19</v>
      </c>
      <c r="F94" t="s">
        <v>12</v>
      </c>
      <c r="G94" s="2">
        <v>6</v>
      </c>
      <c r="H94">
        <v>0.32534715715000001</v>
      </c>
      <c r="I94">
        <v>0.30730673158400001</v>
      </c>
      <c r="J94">
        <v>1980</v>
      </c>
      <c r="K94">
        <v>22701</v>
      </c>
      <c r="L94">
        <f t="shared" si="1"/>
        <v>1.552054199919192E-4</v>
      </c>
    </row>
    <row r="95" spans="2:12" x14ac:dyDescent="0.25">
      <c r="B95">
        <v>4</v>
      </c>
      <c r="C95">
        <v>6</v>
      </c>
      <c r="D95" s="2">
        <v>6</v>
      </c>
      <c r="E95" t="s">
        <v>14</v>
      </c>
      <c r="F95" t="s">
        <v>0</v>
      </c>
      <c r="G95" s="2">
        <v>6</v>
      </c>
      <c r="H95">
        <v>0.260649005745</v>
      </c>
      <c r="I95">
        <v>0.18030478642200001</v>
      </c>
      <c r="J95">
        <v>1980</v>
      </c>
      <c r="K95">
        <v>22701</v>
      </c>
      <c r="L95">
        <f t="shared" si="1"/>
        <v>9.1063023445454554E-5</v>
      </c>
    </row>
    <row r="96" spans="2:12" x14ac:dyDescent="0.25">
      <c r="B96">
        <v>4</v>
      </c>
      <c r="C96">
        <v>6</v>
      </c>
      <c r="D96" s="2">
        <v>6</v>
      </c>
      <c r="E96" t="s">
        <v>14</v>
      </c>
      <c r="F96" t="s">
        <v>13</v>
      </c>
      <c r="G96" s="2">
        <v>6</v>
      </c>
      <c r="H96">
        <v>4.455112003</v>
      </c>
      <c r="I96">
        <v>3.65000309812</v>
      </c>
      <c r="J96">
        <v>1980</v>
      </c>
      <c r="K96">
        <v>22701</v>
      </c>
      <c r="L96">
        <f t="shared" si="1"/>
        <v>1.8434359081414141E-3</v>
      </c>
    </row>
    <row r="97" spans="2:12" x14ac:dyDescent="0.25">
      <c r="B97">
        <v>4</v>
      </c>
      <c r="C97">
        <v>6</v>
      </c>
      <c r="D97" s="2">
        <v>6</v>
      </c>
      <c r="E97" t="s">
        <v>14</v>
      </c>
      <c r="F97" t="s">
        <v>12</v>
      </c>
      <c r="G97" s="2">
        <v>6</v>
      </c>
      <c r="H97">
        <v>6.1929960477100003</v>
      </c>
      <c r="I97">
        <v>5.8695437478999999</v>
      </c>
      <c r="J97">
        <v>1980</v>
      </c>
      <c r="K97">
        <v>22701</v>
      </c>
      <c r="L97">
        <f t="shared" si="1"/>
        <v>2.9644160342929293E-3</v>
      </c>
    </row>
    <row r="98" spans="2:12" x14ac:dyDescent="0.25">
      <c r="B98">
        <v>4</v>
      </c>
      <c r="C98">
        <v>6</v>
      </c>
      <c r="D98" s="2">
        <v>6</v>
      </c>
      <c r="E98" t="s">
        <v>20</v>
      </c>
      <c r="F98" t="s">
        <v>0</v>
      </c>
      <c r="G98" s="2">
        <v>8</v>
      </c>
      <c r="H98">
        <v>9.0458720455600002E-3</v>
      </c>
      <c r="I98">
        <v>8.4360052291700006E-3</v>
      </c>
      <c r="J98">
        <v>1980</v>
      </c>
      <c r="K98">
        <v>22701</v>
      </c>
      <c r="L98">
        <f t="shared" si="1"/>
        <v>4.2606087016010101E-6</v>
      </c>
    </row>
    <row r="99" spans="2:12" x14ac:dyDescent="0.25">
      <c r="B99">
        <v>4</v>
      </c>
      <c r="C99">
        <v>6</v>
      </c>
      <c r="D99" s="2">
        <v>6</v>
      </c>
      <c r="E99" t="s">
        <v>20</v>
      </c>
      <c r="F99" t="s">
        <v>13</v>
      </c>
      <c r="G99" s="2">
        <v>8</v>
      </c>
      <c r="H99">
        <v>0.49083717240199998</v>
      </c>
      <c r="I99">
        <v>0.39745057170699999</v>
      </c>
      <c r="J99">
        <v>1980</v>
      </c>
      <c r="K99">
        <v>22701</v>
      </c>
      <c r="L99">
        <f t="shared" si="1"/>
        <v>2.007326119732323E-4</v>
      </c>
    </row>
    <row r="100" spans="2:12" x14ac:dyDescent="0.25">
      <c r="B100">
        <v>4</v>
      </c>
      <c r="C100">
        <v>6</v>
      </c>
      <c r="D100" s="2">
        <v>6</v>
      </c>
      <c r="E100" t="s">
        <v>23</v>
      </c>
      <c r="F100" t="s">
        <v>0</v>
      </c>
      <c r="G100" s="2">
        <v>4</v>
      </c>
      <c r="H100">
        <v>2.0742821076899999E-3</v>
      </c>
      <c r="I100">
        <v>1.94022038075E-3</v>
      </c>
      <c r="J100">
        <v>1980</v>
      </c>
      <c r="K100">
        <v>22701</v>
      </c>
      <c r="L100">
        <f t="shared" si="1"/>
        <v>9.7990928320707079E-7</v>
      </c>
    </row>
    <row r="101" spans="2:12" x14ac:dyDescent="0.25">
      <c r="B101">
        <v>4</v>
      </c>
      <c r="C101">
        <v>6</v>
      </c>
      <c r="D101" s="2">
        <v>6</v>
      </c>
      <c r="E101" t="s">
        <v>23</v>
      </c>
      <c r="F101" t="s">
        <v>13</v>
      </c>
      <c r="G101" s="2">
        <v>4</v>
      </c>
      <c r="H101">
        <v>7.3444348607600005E-2</v>
      </c>
      <c r="I101">
        <v>6.5548201589800001E-2</v>
      </c>
      <c r="J101">
        <v>1980</v>
      </c>
      <c r="K101">
        <v>22701</v>
      </c>
      <c r="L101">
        <f t="shared" si="1"/>
        <v>3.3105152318080806E-5</v>
      </c>
    </row>
    <row r="102" spans="2:12" x14ac:dyDescent="0.25">
      <c r="B102">
        <v>4</v>
      </c>
      <c r="C102">
        <v>6</v>
      </c>
      <c r="D102" s="2">
        <v>18</v>
      </c>
      <c r="E102" t="s">
        <v>15</v>
      </c>
      <c r="F102" t="s">
        <v>0</v>
      </c>
      <c r="G102" s="2">
        <v>6</v>
      </c>
      <c r="H102">
        <v>3.8538311559700002E-3</v>
      </c>
      <c r="I102">
        <v>3.3604130419E-3</v>
      </c>
      <c r="J102">
        <v>2592</v>
      </c>
      <c r="K102">
        <v>21025</v>
      </c>
      <c r="L102">
        <f t="shared" si="1"/>
        <v>1.2964556488811729E-6</v>
      </c>
    </row>
    <row r="103" spans="2:12" x14ac:dyDescent="0.25">
      <c r="B103">
        <v>4</v>
      </c>
      <c r="C103">
        <v>6</v>
      </c>
      <c r="D103" s="2">
        <v>18</v>
      </c>
      <c r="E103" t="s">
        <v>15</v>
      </c>
      <c r="F103" t="s">
        <v>13</v>
      </c>
      <c r="G103" s="2">
        <v>6</v>
      </c>
      <c r="H103">
        <v>5.6649632717799998E-2</v>
      </c>
      <c r="I103">
        <v>5.3068676730900002E-2</v>
      </c>
      <c r="J103">
        <v>2592</v>
      </c>
      <c r="K103">
        <v>21025</v>
      </c>
      <c r="L103">
        <f t="shared" si="1"/>
        <v>2.0474026516550926E-5</v>
      </c>
    </row>
    <row r="104" spans="2:12" x14ac:dyDescent="0.25">
      <c r="B104">
        <v>4</v>
      </c>
      <c r="C104">
        <v>6</v>
      </c>
      <c r="D104" s="2">
        <v>18</v>
      </c>
      <c r="E104" t="s">
        <v>15</v>
      </c>
      <c r="F104" t="s">
        <v>12</v>
      </c>
      <c r="G104" s="2">
        <v>6</v>
      </c>
      <c r="H104">
        <v>0.105965404725</v>
      </c>
      <c r="I104">
        <v>7.9675241168600003E-2</v>
      </c>
      <c r="J104">
        <v>2592</v>
      </c>
      <c r="K104">
        <v>21025</v>
      </c>
      <c r="L104">
        <f t="shared" si="1"/>
        <v>3.0738904771836421E-5</v>
      </c>
    </row>
    <row r="105" spans="2:12" x14ac:dyDescent="0.25">
      <c r="B105">
        <v>4</v>
      </c>
      <c r="C105">
        <v>6</v>
      </c>
      <c r="D105" s="2">
        <v>18</v>
      </c>
      <c r="E105" t="s">
        <v>18</v>
      </c>
      <c r="F105" t="s">
        <v>0</v>
      </c>
      <c r="G105" s="2">
        <v>6</v>
      </c>
      <c r="H105">
        <v>3.9872593208699998E-3</v>
      </c>
      <c r="I105">
        <v>3.21862185812E-3</v>
      </c>
      <c r="J105">
        <v>2592</v>
      </c>
      <c r="K105">
        <v>21025</v>
      </c>
      <c r="L105">
        <f t="shared" si="1"/>
        <v>1.2417522600771604E-6</v>
      </c>
    </row>
    <row r="106" spans="2:12" x14ac:dyDescent="0.25">
      <c r="B106">
        <v>4</v>
      </c>
      <c r="C106">
        <v>6</v>
      </c>
      <c r="D106" s="2">
        <v>18</v>
      </c>
      <c r="E106" t="s">
        <v>18</v>
      </c>
      <c r="F106" t="s">
        <v>13</v>
      </c>
      <c r="G106" s="2">
        <v>6</v>
      </c>
      <c r="H106">
        <v>5.5641762230000003E-2</v>
      </c>
      <c r="I106">
        <v>5.0086120087600002E-2</v>
      </c>
      <c r="J106">
        <v>2592</v>
      </c>
      <c r="K106">
        <v>21025</v>
      </c>
      <c r="L106">
        <f t="shared" si="1"/>
        <v>1.9323348799228396E-5</v>
      </c>
    </row>
    <row r="107" spans="2:12" x14ac:dyDescent="0.25">
      <c r="B107">
        <v>4</v>
      </c>
      <c r="C107">
        <v>6</v>
      </c>
      <c r="D107" s="2">
        <v>18</v>
      </c>
      <c r="E107" t="s">
        <v>18</v>
      </c>
      <c r="F107" t="s">
        <v>12</v>
      </c>
      <c r="G107" s="2">
        <v>6</v>
      </c>
      <c r="H107">
        <v>8.1067303675300004E-2</v>
      </c>
      <c r="I107">
        <v>7.2206685169199994E-2</v>
      </c>
      <c r="J107">
        <v>2592</v>
      </c>
      <c r="K107">
        <v>21025</v>
      </c>
      <c r="L107">
        <f t="shared" si="1"/>
        <v>2.7857517426388886E-5</v>
      </c>
    </row>
    <row r="108" spans="2:12" x14ac:dyDescent="0.25">
      <c r="B108">
        <v>4</v>
      </c>
      <c r="C108">
        <v>6</v>
      </c>
      <c r="D108" s="2">
        <v>18</v>
      </c>
      <c r="E108" t="s">
        <v>17</v>
      </c>
      <c r="F108" t="s">
        <v>0</v>
      </c>
      <c r="G108" s="2">
        <v>6</v>
      </c>
      <c r="H108">
        <v>1.8019644731400001E-2</v>
      </c>
      <c r="I108">
        <v>1.6851102911100001E-2</v>
      </c>
      <c r="J108">
        <v>2592</v>
      </c>
      <c r="K108">
        <v>21025</v>
      </c>
      <c r="L108">
        <f t="shared" si="1"/>
        <v>6.5011971107638895E-6</v>
      </c>
    </row>
    <row r="109" spans="2:12" x14ac:dyDescent="0.25">
      <c r="B109">
        <v>4</v>
      </c>
      <c r="C109">
        <v>6</v>
      </c>
      <c r="D109" s="2">
        <v>18</v>
      </c>
      <c r="E109" t="s">
        <v>17</v>
      </c>
      <c r="F109" t="s">
        <v>13</v>
      </c>
      <c r="G109" s="2">
        <v>6</v>
      </c>
      <c r="H109">
        <v>0.18468327030000001</v>
      </c>
      <c r="I109">
        <v>0.173739056325</v>
      </c>
      <c r="J109">
        <v>2592</v>
      </c>
      <c r="K109">
        <v>21025</v>
      </c>
      <c r="L109">
        <f t="shared" si="1"/>
        <v>6.7028956915509257E-5</v>
      </c>
    </row>
    <row r="110" spans="2:12" x14ac:dyDescent="0.25">
      <c r="B110">
        <v>4</v>
      </c>
      <c r="C110">
        <v>6</v>
      </c>
      <c r="D110" s="2">
        <v>18</v>
      </c>
      <c r="E110" t="s">
        <v>17</v>
      </c>
      <c r="F110" t="s">
        <v>12</v>
      </c>
      <c r="G110" s="2">
        <v>6</v>
      </c>
      <c r="H110">
        <v>0.180768553833</v>
      </c>
      <c r="I110">
        <v>0.16556914715099999</v>
      </c>
      <c r="J110">
        <v>2592</v>
      </c>
      <c r="K110">
        <v>21025</v>
      </c>
      <c r="L110">
        <f t="shared" si="1"/>
        <v>6.3876985783564813E-5</v>
      </c>
    </row>
    <row r="111" spans="2:12" x14ac:dyDescent="0.25">
      <c r="B111">
        <v>4</v>
      </c>
      <c r="C111">
        <v>6</v>
      </c>
      <c r="D111" s="2">
        <v>18</v>
      </c>
      <c r="E111" t="s">
        <v>21</v>
      </c>
      <c r="F111" t="s">
        <v>0</v>
      </c>
      <c r="G111" s="2">
        <v>8</v>
      </c>
      <c r="H111">
        <v>6.3331494736300004E-3</v>
      </c>
      <c r="I111">
        <v>6.1635449164400002E-3</v>
      </c>
      <c r="J111">
        <v>2592</v>
      </c>
      <c r="K111">
        <v>21025</v>
      </c>
      <c r="L111">
        <f t="shared" si="1"/>
        <v>2.3779108473919753E-6</v>
      </c>
    </row>
    <row r="112" spans="2:12" x14ac:dyDescent="0.25">
      <c r="B112">
        <v>4</v>
      </c>
      <c r="C112">
        <v>6</v>
      </c>
      <c r="D112" s="2">
        <v>18</v>
      </c>
      <c r="E112" t="s">
        <v>21</v>
      </c>
      <c r="F112" t="s">
        <v>22</v>
      </c>
      <c r="G112" s="2">
        <v>8</v>
      </c>
      <c r="H112">
        <v>0.116197114835</v>
      </c>
      <c r="I112">
        <v>0.11254152524</v>
      </c>
      <c r="J112">
        <v>2592</v>
      </c>
      <c r="K112">
        <v>21025</v>
      </c>
      <c r="L112">
        <f t="shared" si="1"/>
        <v>4.3418798317901236E-5</v>
      </c>
    </row>
    <row r="113" spans="2:12" x14ac:dyDescent="0.25">
      <c r="B113">
        <v>4</v>
      </c>
      <c r="C113">
        <v>6</v>
      </c>
      <c r="D113" s="2">
        <v>18</v>
      </c>
      <c r="E113" t="s">
        <v>21</v>
      </c>
      <c r="F113" t="s">
        <v>13</v>
      </c>
      <c r="G113" s="2">
        <v>8</v>
      </c>
      <c r="H113">
        <v>5.9005659863100003E-2</v>
      </c>
      <c r="I113">
        <v>5.6749545450900003E-2</v>
      </c>
      <c r="J113">
        <v>2592</v>
      </c>
      <c r="K113">
        <v>21025</v>
      </c>
      <c r="L113">
        <f t="shared" si="1"/>
        <v>2.1894114757291669E-5</v>
      </c>
    </row>
    <row r="114" spans="2:12" x14ac:dyDescent="0.25">
      <c r="B114">
        <v>4</v>
      </c>
      <c r="C114">
        <v>6</v>
      </c>
      <c r="D114" s="2">
        <v>18</v>
      </c>
      <c r="E114" t="s">
        <v>24</v>
      </c>
      <c r="F114" t="s">
        <v>0</v>
      </c>
      <c r="G114" s="2">
        <v>4</v>
      </c>
      <c r="H114">
        <v>3.8734715791E-3</v>
      </c>
      <c r="I114">
        <v>3.69417352276E-3</v>
      </c>
      <c r="J114">
        <v>2592</v>
      </c>
      <c r="K114">
        <v>21025</v>
      </c>
      <c r="L114">
        <f t="shared" si="1"/>
        <v>1.4252212664969136E-6</v>
      </c>
    </row>
    <row r="115" spans="2:12" x14ac:dyDescent="0.25">
      <c r="B115">
        <v>4</v>
      </c>
      <c r="C115">
        <v>6</v>
      </c>
      <c r="D115" s="2">
        <v>18</v>
      </c>
      <c r="E115" t="s">
        <v>24</v>
      </c>
      <c r="F115" t="s">
        <v>22</v>
      </c>
      <c r="G115" s="2">
        <v>4</v>
      </c>
      <c r="H115">
        <v>2.1286037167000001E-2</v>
      </c>
      <c r="I115">
        <v>1.97317827789E-2</v>
      </c>
      <c r="J115">
        <v>2592</v>
      </c>
      <c r="K115">
        <v>21025</v>
      </c>
      <c r="L115">
        <f t="shared" si="1"/>
        <v>7.6125705165509263E-6</v>
      </c>
    </row>
    <row r="116" spans="2:12" x14ac:dyDescent="0.25">
      <c r="B116">
        <v>4</v>
      </c>
      <c r="C116">
        <v>6</v>
      </c>
      <c r="D116" s="2">
        <v>18</v>
      </c>
      <c r="E116" t="s">
        <v>24</v>
      </c>
      <c r="F116" t="s">
        <v>13</v>
      </c>
      <c r="G116" s="2">
        <v>4</v>
      </c>
      <c r="H116">
        <v>2.3594230378599999E-2</v>
      </c>
      <c r="I116">
        <v>2.0510683946700001E-2</v>
      </c>
      <c r="J116">
        <v>2592</v>
      </c>
      <c r="K116">
        <v>21025</v>
      </c>
      <c r="L116">
        <f t="shared" si="1"/>
        <v>7.9130725103009272E-6</v>
      </c>
    </row>
    <row r="117" spans="2:12" x14ac:dyDescent="0.25">
      <c r="B117">
        <v>5</v>
      </c>
      <c r="C117">
        <v>6</v>
      </c>
      <c r="D117" s="2">
        <v>5</v>
      </c>
      <c r="E117" t="s">
        <v>16</v>
      </c>
      <c r="F117" t="s">
        <v>0</v>
      </c>
      <c r="G117" s="2">
        <v>8</v>
      </c>
      <c r="H117">
        <v>2.0348492065300001E-2</v>
      </c>
      <c r="I117">
        <v>1.5869208466900001E-2</v>
      </c>
      <c r="J117">
        <v>1080</v>
      </c>
      <c r="K117">
        <v>24171</v>
      </c>
      <c r="L117">
        <f t="shared" si="1"/>
        <v>1.4693711543425927E-5</v>
      </c>
    </row>
    <row r="118" spans="2:12" x14ac:dyDescent="0.25">
      <c r="B118">
        <v>5</v>
      </c>
      <c r="C118">
        <v>6</v>
      </c>
      <c r="D118" s="2">
        <v>5</v>
      </c>
      <c r="E118" t="s">
        <v>16</v>
      </c>
      <c r="F118" t="s">
        <v>13</v>
      </c>
      <c r="G118" s="2">
        <v>8</v>
      </c>
      <c r="H118">
        <v>0.874574230472</v>
      </c>
      <c r="I118">
        <v>0.76766355118899998</v>
      </c>
      <c r="J118">
        <v>1080</v>
      </c>
      <c r="K118">
        <v>24171</v>
      </c>
    </row>
    <row r="119" spans="2:12" x14ac:dyDescent="0.25">
      <c r="B119">
        <v>5</v>
      </c>
      <c r="C119">
        <v>6</v>
      </c>
      <c r="D119" s="2">
        <v>5</v>
      </c>
      <c r="E119" t="s">
        <v>16</v>
      </c>
      <c r="F119" t="s">
        <v>12</v>
      </c>
      <c r="G119" s="2">
        <v>8</v>
      </c>
      <c r="H119">
        <v>0.86792436333699996</v>
      </c>
      <c r="I119">
        <v>0.59265217558200001</v>
      </c>
      <c r="J119">
        <v>1080</v>
      </c>
      <c r="K119">
        <v>24171</v>
      </c>
    </row>
    <row r="120" spans="2:12" x14ac:dyDescent="0.25">
      <c r="B120">
        <v>5</v>
      </c>
      <c r="C120">
        <v>6</v>
      </c>
      <c r="D120" s="2">
        <v>5</v>
      </c>
      <c r="E120" t="s">
        <v>19</v>
      </c>
      <c r="F120" t="s">
        <v>0</v>
      </c>
      <c r="G120" s="2">
        <v>8</v>
      </c>
      <c r="H120">
        <v>1.9661330680500001E-2</v>
      </c>
      <c r="I120">
        <v>1.6513160920800001E-2</v>
      </c>
      <c r="J120">
        <v>1080</v>
      </c>
      <c r="K120">
        <v>24171</v>
      </c>
    </row>
    <row r="121" spans="2:12" x14ac:dyDescent="0.25">
      <c r="B121">
        <v>5</v>
      </c>
      <c r="C121">
        <v>6</v>
      </c>
      <c r="D121" s="2">
        <v>5</v>
      </c>
      <c r="E121" t="s">
        <v>19</v>
      </c>
      <c r="F121" t="s">
        <v>13</v>
      </c>
      <c r="G121" s="2">
        <v>8</v>
      </c>
      <c r="H121">
        <v>0.76632451782400002</v>
      </c>
      <c r="I121">
        <v>0.74012831151799996</v>
      </c>
      <c r="J121">
        <v>1080</v>
      </c>
      <c r="K121">
        <v>24171</v>
      </c>
    </row>
    <row r="122" spans="2:12" x14ac:dyDescent="0.25">
      <c r="B122">
        <v>5</v>
      </c>
      <c r="C122">
        <v>6</v>
      </c>
      <c r="D122" s="2">
        <v>5</v>
      </c>
      <c r="E122" t="s">
        <v>19</v>
      </c>
      <c r="F122" t="s">
        <v>12</v>
      </c>
      <c r="G122" s="2">
        <v>8</v>
      </c>
      <c r="H122">
        <v>0.63405944611200005</v>
      </c>
      <c r="I122">
        <v>0.61940623326199995</v>
      </c>
      <c r="J122">
        <v>1080</v>
      </c>
      <c r="K122">
        <v>24171</v>
      </c>
    </row>
    <row r="123" spans="2:12" x14ac:dyDescent="0.25">
      <c r="B123">
        <v>5</v>
      </c>
      <c r="C123">
        <v>6</v>
      </c>
      <c r="D123" s="2">
        <v>5</v>
      </c>
      <c r="E123" t="s">
        <v>14</v>
      </c>
      <c r="F123" t="s">
        <v>0</v>
      </c>
      <c r="G123" s="2">
        <v>8</v>
      </c>
      <c r="H123">
        <v>0.32312063008500003</v>
      </c>
      <c r="I123">
        <v>0.247791307706</v>
      </c>
      <c r="J123">
        <v>1080</v>
      </c>
      <c r="K123">
        <v>24171</v>
      </c>
    </row>
    <row r="124" spans="2:12" x14ac:dyDescent="0.25">
      <c r="B124">
        <v>5</v>
      </c>
      <c r="C124">
        <v>6</v>
      </c>
      <c r="D124" s="2">
        <v>5</v>
      </c>
      <c r="E124" t="s">
        <v>14</v>
      </c>
      <c r="F124" t="s">
        <v>13</v>
      </c>
      <c r="G124" s="2">
        <v>8</v>
      </c>
      <c r="H124">
        <v>11.914319351</v>
      </c>
      <c r="I124">
        <v>11.112363621</v>
      </c>
      <c r="J124">
        <v>1080</v>
      </c>
      <c r="K124">
        <v>24171</v>
      </c>
    </row>
    <row r="125" spans="2:12" x14ac:dyDescent="0.25">
      <c r="B125">
        <v>5</v>
      </c>
      <c r="C125">
        <v>6</v>
      </c>
      <c r="D125" s="2">
        <v>5</v>
      </c>
      <c r="E125" t="s">
        <v>14</v>
      </c>
      <c r="F125" t="s">
        <v>12</v>
      </c>
      <c r="G125" s="2">
        <v>8</v>
      </c>
      <c r="H125">
        <v>15.0934650357</v>
      </c>
      <c r="I125">
        <v>14.1804473379</v>
      </c>
      <c r="J125">
        <v>1080</v>
      </c>
      <c r="K125">
        <v>24171</v>
      </c>
    </row>
    <row r="126" spans="2:12" x14ac:dyDescent="0.25">
      <c r="B126">
        <v>5</v>
      </c>
      <c r="C126">
        <v>6</v>
      </c>
      <c r="D126" s="2">
        <v>5</v>
      </c>
      <c r="E126" t="s">
        <v>20</v>
      </c>
      <c r="F126" t="s">
        <v>0</v>
      </c>
      <c r="G126" s="2">
        <v>10</v>
      </c>
      <c r="H126">
        <v>1.17963549149E-2</v>
      </c>
      <c r="I126">
        <v>1.12676473954E-2</v>
      </c>
      <c r="J126">
        <v>1080</v>
      </c>
      <c r="K126">
        <v>24171</v>
      </c>
    </row>
    <row r="127" spans="2:12" x14ac:dyDescent="0.25">
      <c r="B127">
        <v>5</v>
      </c>
      <c r="C127">
        <v>6</v>
      </c>
      <c r="D127" s="2">
        <v>5</v>
      </c>
      <c r="E127" t="s">
        <v>20</v>
      </c>
      <c r="F127" t="s">
        <v>13</v>
      </c>
      <c r="G127" s="2">
        <v>10</v>
      </c>
      <c r="H127">
        <v>0.90850673609499999</v>
      </c>
      <c r="I127">
        <v>0.74964884824099998</v>
      </c>
      <c r="J127">
        <v>1080</v>
      </c>
      <c r="K127">
        <v>24171</v>
      </c>
    </row>
    <row r="128" spans="2:12" x14ac:dyDescent="0.25">
      <c r="B128">
        <v>5</v>
      </c>
      <c r="C128">
        <v>6</v>
      </c>
      <c r="D128" s="2">
        <v>5</v>
      </c>
      <c r="E128" t="s">
        <v>23</v>
      </c>
      <c r="F128" t="s">
        <v>0</v>
      </c>
      <c r="G128" s="2">
        <v>5</v>
      </c>
      <c r="H128">
        <v>2.1028557555400002E-3</v>
      </c>
      <c r="I128">
        <v>1.9086689913299999E-3</v>
      </c>
      <c r="J128">
        <v>1080</v>
      </c>
      <c r="K128">
        <v>24171</v>
      </c>
    </row>
    <row r="129" spans="2:11" x14ac:dyDescent="0.25">
      <c r="B129">
        <v>5</v>
      </c>
      <c r="C129">
        <v>6</v>
      </c>
      <c r="D129" s="2">
        <v>5</v>
      </c>
      <c r="E129" t="s">
        <v>23</v>
      </c>
      <c r="F129" t="s">
        <v>13</v>
      </c>
      <c r="G129" s="2">
        <v>5</v>
      </c>
      <c r="H129">
        <v>8.9740261106100006E-2</v>
      </c>
      <c r="I129">
        <v>8.2148794071700004E-2</v>
      </c>
      <c r="J129">
        <v>1080</v>
      </c>
      <c r="K129">
        <v>24171</v>
      </c>
    </row>
    <row r="130" spans="2:11" x14ac:dyDescent="0.25">
      <c r="B130">
        <v>5</v>
      </c>
      <c r="C130">
        <v>6</v>
      </c>
      <c r="D130" s="2">
        <v>15</v>
      </c>
      <c r="E130" t="s">
        <v>15</v>
      </c>
      <c r="F130" t="s">
        <v>0</v>
      </c>
      <c r="G130" s="2">
        <v>8</v>
      </c>
      <c r="H130">
        <v>4.49138463336E-3</v>
      </c>
      <c r="I130">
        <v>3.5136083423400002E-3</v>
      </c>
      <c r="J130">
        <v>1800</v>
      </c>
      <c r="K130">
        <v>22801</v>
      </c>
    </row>
    <row r="131" spans="2:11" x14ac:dyDescent="0.25">
      <c r="B131">
        <v>5</v>
      </c>
      <c r="C131">
        <v>6</v>
      </c>
      <c r="D131" s="2">
        <v>15</v>
      </c>
      <c r="E131" t="s">
        <v>15</v>
      </c>
      <c r="F131" t="s">
        <v>13</v>
      </c>
      <c r="G131" s="2">
        <v>8</v>
      </c>
      <c r="H131">
        <v>8.1181408198100005E-2</v>
      </c>
      <c r="I131">
        <v>7.3624977144199993E-2</v>
      </c>
      <c r="J131">
        <v>1800</v>
      </c>
      <c r="K131">
        <v>22801</v>
      </c>
    </row>
    <row r="132" spans="2:11" x14ac:dyDescent="0.25">
      <c r="B132">
        <v>5</v>
      </c>
      <c r="C132">
        <v>6</v>
      </c>
      <c r="D132" s="2">
        <v>15</v>
      </c>
      <c r="E132" t="s">
        <v>15</v>
      </c>
      <c r="F132" t="s">
        <v>12</v>
      </c>
      <c r="G132" s="2">
        <v>8</v>
      </c>
      <c r="H132">
        <v>0.117217086357</v>
      </c>
      <c r="I132">
        <v>0.11023409230300001</v>
      </c>
      <c r="J132">
        <v>1800</v>
      </c>
      <c r="K132">
        <v>22801</v>
      </c>
    </row>
    <row r="133" spans="2:11" x14ac:dyDescent="0.25">
      <c r="B133">
        <v>5</v>
      </c>
      <c r="C133">
        <v>6</v>
      </c>
      <c r="D133" s="2">
        <v>15</v>
      </c>
      <c r="E133" t="s">
        <v>18</v>
      </c>
      <c r="F133" t="s">
        <v>0</v>
      </c>
      <c r="G133" s="2">
        <v>8</v>
      </c>
      <c r="H133">
        <v>4.3560557823500001E-3</v>
      </c>
      <c r="I133">
        <v>3.7173618933000001E-3</v>
      </c>
      <c r="J133">
        <v>1800</v>
      </c>
      <c r="K133">
        <v>22801</v>
      </c>
    </row>
    <row r="134" spans="2:11" x14ac:dyDescent="0.25">
      <c r="B134">
        <v>5</v>
      </c>
      <c r="C134">
        <v>6</v>
      </c>
      <c r="D134" s="2">
        <v>15</v>
      </c>
      <c r="E134" t="s">
        <v>18</v>
      </c>
      <c r="F134" t="s">
        <v>13</v>
      </c>
      <c r="G134" s="2">
        <v>8</v>
      </c>
      <c r="H134">
        <v>8.4744624447899999E-2</v>
      </c>
      <c r="I134">
        <v>7.5965862156900002E-2</v>
      </c>
      <c r="J134">
        <v>1800</v>
      </c>
      <c r="K134">
        <v>22801</v>
      </c>
    </row>
    <row r="135" spans="2:11" x14ac:dyDescent="0.25">
      <c r="B135">
        <v>5</v>
      </c>
      <c r="C135">
        <v>6</v>
      </c>
      <c r="D135" s="2">
        <v>15</v>
      </c>
      <c r="E135" t="s">
        <v>18</v>
      </c>
      <c r="F135" t="s">
        <v>12</v>
      </c>
      <c r="G135" s="2">
        <v>8</v>
      </c>
      <c r="H135">
        <v>0.112247045605</v>
      </c>
      <c r="I135">
        <v>0.109307317756</v>
      </c>
      <c r="J135">
        <v>1800</v>
      </c>
      <c r="K135">
        <v>22801</v>
      </c>
    </row>
    <row r="136" spans="2:11" x14ac:dyDescent="0.25">
      <c r="B136">
        <v>5</v>
      </c>
      <c r="C136">
        <v>6</v>
      </c>
      <c r="D136" s="2">
        <v>15</v>
      </c>
      <c r="E136" t="s">
        <v>17</v>
      </c>
      <c r="F136" t="s">
        <v>0</v>
      </c>
      <c r="G136" s="2">
        <v>8</v>
      </c>
      <c r="H136">
        <v>2.7308551174099999E-2</v>
      </c>
      <c r="I136">
        <v>2.5143796407599998E-2</v>
      </c>
      <c r="J136">
        <v>1800</v>
      </c>
      <c r="K136">
        <v>22801</v>
      </c>
    </row>
    <row r="137" spans="2:11" x14ac:dyDescent="0.25">
      <c r="B137">
        <v>5</v>
      </c>
      <c r="C137">
        <v>6</v>
      </c>
      <c r="D137" s="2">
        <v>15</v>
      </c>
      <c r="E137" t="s">
        <v>17</v>
      </c>
      <c r="F137" t="s">
        <v>13</v>
      </c>
      <c r="G137" s="2">
        <v>8</v>
      </c>
      <c r="H137">
        <v>0.31562755523500002</v>
      </c>
      <c r="I137">
        <v>0.30721131714099997</v>
      </c>
      <c r="J137">
        <v>1800</v>
      </c>
      <c r="K137">
        <v>22801</v>
      </c>
    </row>
    <row r="138" spans="2:11" x14ac:dyDescent="0.25">
      <c r="B138">
        <v>5</v>
      </c>
      <c r="C138">
        <v>6</v>
      </c>
      <c r="D138" s="2">
        <v>15</v>
      </c>
      <c r="E138" t="s">
        <v>17</v>
      </c>
      <c r="F138" t="s">
        <v>12</v>
      </c>
      <c r="G138" s="2">
        <v>8</v>
      </c>
      <c r="H138">
        <v>0.28692256997600002</v>
      </c>
      <c r="I138">
        <v>0.26922458469100002</v>
      </c>
      <c r="J138">
        <v>1800</v>
      </c>
      <c r="K138">
        <v>22801</v>
      </c>
    </row>
    <row r="139" spans="2:11" x14ac:dyDescent="0.25">
      <c r="B139">
        <v>5</v>
      </c>
      <c r="C139">
        <v>6</v>
      </c>
      <c r="D139" s="2">
        <v>15</v>
      </c>
      <c r="E139" t="s">
        <v>21</v>
      </c>
      <c r="F139" t="s">
        <v>0</v>
      </c>
      <c r="G139" s="2">
        <v>10</v>
      </c>
      <c r="H139">
        <v>6.4568841393700003E-3</v>
      </c>
      <c r="I139">
        <v>5.73208916955E-3</v>
      </c>
      <c r="J139">
        <v>1800</v>
      </c>
      <c r="K139">
        <v>22801</v>
      </c>
    </row>
    <row r="140" spans="2:11" x14ac:dyDescent="0.25">
      <c r="B140">
        <v>5</v>
      </c>
      <c r="C140">
        <v>6</v>
      </c>
      <c r="D140" s="2">
        <v>15</v>
      </c>
      <c r="E140" t="s">
        <v>21</v>
      </c>
      <c r="F140" t="s">
        <v>22</v>
      </c>
      <c r="G140" s="2">
        <v>10</v>
      </c>
      <c r="H140">
        <v>0.29731064319599998</v>
      </c>
      <c r="I140">
        <v>0.28916316211799997</v>
      </c>
      <c r="J140">
        <v>1800</v>
      </c>
      <c r="K140">
        <v>22801</v>
      </c>
    </row>
    <row r="141" spans="2:11" x14ac:dyDescent="0.25">
      <c r="B141">
        <v>5</v>
      </c>
      <c r="C141">
        <v>6</v>
      </c>
      <c r="D141" s="2">
        <v>15</v>
      </c>
      <c r="E141" t="s">
        <v>21</v>
      </c>
      <c r="F141" t="s">
        <v>13</v>
      </c>
      <c r="G141" s="2">
        <v>10</v>
      </c>
      <c r="H141">
        <v>0.100107490135</v>
      </c>
      <c r="I141">
        <v>9.5193582979599997E-2</v>
      </c>
      <c r="J141">
        <v>1800</v>
      </c>
      <c r="K141">
        <v>22801</v>
      </c>
    </row>
    <row r="142" spans="2:11" x14ac:dyDescent="0.25">
      <c r="B142">
        <v>5</v>
      </c>
      <c r="C142">
        <v>6</v>
      </c>
      <c r="D142" s="2">
        <v>15</v>
      </c>
      <c r="E142" t="s">
        <v>24</v>
      </c>
      <c r="F142" t="s">
        <v>0</v>
      </c>
      <c r="G142" s="2">
        <v>5</v>
      </c>
      <c r="H142">
        <v>3.8310862788599998E-3</v>
      </c>
      <c r="I142">
        <v>3.5474405550899998E-3</v>
      </c>
      <c r="J142">
        <v>1800</v>
      </c>
      <c r="K142">
        <v>22801</v>
      </c>
    </row>
    <row r="143" spans="2:11" x14ac:dyDescent="0.25">
      <c r="B143">
        <v>5</v>
      </c>
      <c r="C143">
        <v>6</v>
      </c>
      <c r="D143" s="2">
        <v>15</v>
      </c>
      <c r="E143" t="s">
        <v>24</v>
      </c>
      <c r="F143" t="s">
        <v>22</v>
      </c>
      <c r="G143" s="2">
        <v>5</v>
      </c>
      <c r="H143">
        <v>5.6040589532000001E-2</v>
      </c>
      <c r="I143">
        <v>5.1907357517900002E-2</v>
      </c>
      <c r="J143">
        <v>1800</v>
      </c>
      <c r="K143">
        <v>22801</v>
      </c>
    </row>
    <row r="144" spans="2:11" x14ac:dyDescent="0.25">
      <c r="B144">
        <v>5</v>
      </c>
      <c r="C144">
        <v>6</v>
      </c>
      <c r="D144" s="2">
        <v>15</v>
      </c>
      <c r="E144" t="s">
        <v>24</v>
      </c>
      <c r="F144" t="s">
        <v>13</v>
      </c>
      <c r="G144" s="2">
        <v>5</v>
      </c>
      <c r="H144">
        <v>2.9850211996199999E-2</v>
      </c>
      <c r="I144">
        <v>2.67605200125E-2</v>
      </c>
      <c r="J144">
        <v>1800</v>
      </c>
      <c r="K144">
        <v>22801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Import</vt:lpstr>
      <vt:lpstr>Integration Method</vt:lpstr>
      <vt:lpstr>Lagrange</vt:lpstr>
      <vt:lpstr>IntegrationMethods</vt:lpstr>
      <vt:lpstr>MassIntegrationMethods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herve Delingette</dc:creator>
  <cp:lastModifiedBy>herve Delingette</cp:lastModifiedBy>
  <dcterms:created xsi:type="dcterms:W3CDTF">2016-09-20T12:35:59Z</dcterms:created>
  <dcterms:modified xsi:type="dcterms:W3CDTF">2016-09-29T17:32:09Z</dcterms:modified>
</cp:coreProperties>
</file>