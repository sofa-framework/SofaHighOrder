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hdeling\SOFA\SOFA-HighOrder\examples\TetrahedronAssemblyBenchmark\"/>
    </mc:Choice>
  </mc:AlternateContent>
  <bookViews>
    <workbookView xWindow="0" yWindow="0" windowWidth="13575" windowHeight="6510"/>
  </bookViews>
  <sheets>
    <sheet name="Import" sheetId="1" r:id="rId1"/>
    <sheet name="Sheet1" sheetId="4" r:id="rId2"/>
    <sheet name="Integration Method" sheetId="2" r:id="rId3"/>
    <sheet name="Lagrange" sheetId="3" r:id="rId4"/>
    <sheet name="Bezier" sheetId="5" r:id="rId5"/>
  </sheets>
  <definedNames>
    <definedName name="_xlnm._FilterDatabase" localSheetId="0" hidden="1">Import!$B$6:$L$27</definedName>
    <definedName name="IntegrationMethods">Import!$S$7:$S$9</definedName>
    <definedName name="MainComponentType">Import!$V$7:$V$10</definedName>
    <definedName name="MainMassComponentType">Import!$W$7:$W$10</definedName>
    <definedName name="MassIntegrationMethods">Import!$U$7:$U$9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4" i="1" l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M19" i="1"/>
  <c r="L19" i="1"/>
  <c r="M18" i="1"/>
  <c r="L18" i="1"/>
  <c r="M17" i="1"/>
  <c r="L17" i="1"/>
  <c r="M16" i="1"/>
  <c r="L16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7" i="1"/>
  <c r="L7" i="1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B28" i="2" l="1"/>
  <c r="B27" i="2"/>
  <c r="G6" i="2"/>
  <c r="A9" i="2"/>
  <c r="G7" i="2" l="1"/>
</calcChain>
</file>

<file path=xl/sharedStrings.xml><?xml version="1.0" encoding="utf-8"?>
<sst xmlns="http://schemas.openxmlformats.org/spreadsheetml/2006/main" count="927" uniqueCount="37">
  <si>
    <t>analytical</t>
  </si>
  <si>
    <t>Degree</t>
  </si>
  <si>
    <t>Number of runs</t>
  </si>
  <si>
    <t>Resolution</t>
  </si>
  <si>
    <t>Force Field Type</t>
  </si>
  <si>
    <t>Integration Method</t>
  </si>
  <si>
    <t>Numerical integration Order</t>
  </si>
  <si>
    <t>Mean Assembly time</t>
  </si>
  <si>
    <t>Min Assembly Time</t>
  </si>
  <si>
    <t>Number of elements</t>
  </si>
  <si>
    <t>Number of points</t>
  </si>
  <si>
    <t>Average assembly speed</t>
  </si>
  <si>
    <t>standard</t>
  </si>
  <si>
    <t>numerical</t>
  </si>
  <si>
    <t>elasticityTetra</t>
  </si>
  <si>
    <t>diffusionTrian</t>
  </si>
  <si>
    <t>diffusionTetra</t>
  </si>
  <si>
    <t>elasticityTrian</t>
  </si>
  <si>
    <t>diffusionTrianAniso</t>
  </si>
  <si>
    <t>diffusionTetraAniso</t>
  </si>
  <si>
    <t>massTetra</t>
  </si>
  <si>
    <t>massTrian</t>
  </si>
  <si>
    <t>exact</t>
  </si>
  <si>
    <t>massTetraLumped</t>
  </si>
  <si>
    <t>massTrianLumped</t>
  </si>
  <si>
    <t>Lagrange</t>
  </si>
  <si>
    <t>Pilier Réseaux</t>
  </si>
  <si>
    <t>Pilier Sciences Numériques</t>
  </si>
  <si>
    <t>Pilier Société Numérique</t>
  </si>
  <si>
    <t>Mis Acad. 1 principal</t>
  </si>
  <si>
    <t>Mis Acad. 1 secondaire</t>
  </si>
  <si>
    <t xml:space="preserve">Réseaux &amp; Données </t>
  </si>
  <si>
    <t>x</t>
  </si>
  <si>
    <t xml:space="preserve">Réseaux &amp; Communications </t>
  </si>
  <si>
    <t xml:space="preserve">Réseaux &amp; Usage (santé, économie, société) </t>
  </si>
  <si>
    <t>Médecine et santé numérique</t>
  </si>
  <si>
    <t xml:space="preserve">Technologie et Société Numérique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</si>
</sst>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/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'Integration Method'!$E$11:$E$20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'Integration Method'!$F$11:$F$20</c:f>
              <c:numCache>
                <c:formatCode>General</c:formatCode>
                <c:ptCount val="10"/>
                <c:pt idx="0">
                  <c:v>5.1962626611944449E-5</c:v>
                </c:pt>
                <c:pt idx="1">
                  <c:v>5.288129121583334E-5</c:v>
                </c:pt>
                <c:pt idx="2">
                  <c:v>5.3830125428968255E-5</c:v>
                </c:pt>
                <c:pt idx="3">
                  <c:v>5.698641967333333E-5</c:v>
                </c:pt>
                <c:pt idx="4">
                  <c:v>6.5585741127272728E-5</c:v>
                </c:pt>
                <c:pt idx="5">
                  <c:v>7.3915310759768016E-5</c:v>
                </c:pt>
                <c:pt idx="6">
                  <c:v>8.533398572103174E-5</c:v>
                </c:pt>
                <c:pt idx="7">
                  <c:v>9.5320045066176474E-5</c:v>
                </c:pt>
                <c:pt idx="8">
                  <c:v>1.1293694728557505E-4</c:v>
                </c:pt>
                <c:pt idx="9">
                  <c:v>1.3103141298701298E-4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3536"/>
        <c:axId val="41064080"/>
      </c:scatterChart>
      <c:valAx>
        <c:axId val="410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4080"/>
        <c:crosses val="autoZero"/>
        <c:crossBetween val="midCat"/>
      </c:valAx>
      <c:valAx>
        <c:axId val="4106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'Integration Method'!$B$5:$C$7</c:f>
              <c:multiLvlStrCache>
                <c:ptCount val="3"/>
                <c:lvl>
                  <c:pt idx="0">
                    <c:v>numerical</c:v>
                  </c:pt>
                  <c:pt idx="1">
                    <c:v>exact</c:v>
                  </c:pt>
                  <c:pt idx="2">
                    <c:v>analytical</c:v>
                  </c:pt>
                </c:lvl>
                <c:lvl>
                  <c:pt idx="0">
                    <c:v>massTrianLumped</c:v>
                  </c:pt>
                  <c:pt idx="1">
                    <c:v>massTrianLumped</c:v>
                  </c:pt>
                  <c:pt idx="2">
                    <c:v>massTrianLumped</c:v>
                  </c:pt>
                </c:lvl>
              </c:multiLvlStrCache>
            </c:multiLvlStrRef>
          </c:cat>
          <c:val>
            <c:numRef>
              <c:f>'Integration Method'!$E$5:$E$7</c:f>
              <c:numCache>
                <c:formatCode>General</c:formatCode>
                <c:ptCount val="3"/>
                <c:pt idx="0">
                  <c:v>2.3317999999999998E-2</c:v>
                </c:pt>
                <c:pt idx="1">
                  <c:v>1.6275999999999999E-2</c:v>
                </c:pt>
                <c:pt idx="2">
                  <c:v>1.217E-3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068432"/>
        <c:axId val="4107713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'Integration Method'!$B$5:$C$7</c15:sqref>
                        </c15:formulaRef>
                      </c:ext>
                    </c:extLst>
                    <c:multiLvlStrCache>
                      <c:ptCount val="3"/>
                      <c:lvl>
                        <c:pt idx="0">
                          <c:v>numerical</c:v>
                        </c:pt>
                        <c:pt idx="1">
                          <c:v>exact</c:v>
                        </c:pt>
                        <c:pt idx="2">
                          <c:v>analytical</c:v>
                        </c:pt>
                      </c:lvl>
                      <c:lvl>
                        <c:pt idx="0">
                          <c:v>massTrianLumped</c:v>
                        </c:pt>
                        <c:pt idx="1">
                          <c:v>massTrianLumped</c:v>
                        </c:pt>
                        <c:pt idx="2">
                          <c:v>massTrianLumped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'Integration Method'!$D$5:$D$7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4106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77136"/>
        <c:crosses val="autoZero"/>
        <c:auto val="1"/>
        <c:lblAlgn val="ctr"/>
        <c:lblOffset val="100"/>
        <c:noMultiLvlLbl val="0"/>
      </c:catAx>
      <c:valAx>
        <c:axId val="4107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</xdr:row>
          <xdr:rowOff>161925</xdr:rowOff>
        </xdr:from>
        <xdr:to>
          <xdr:col>9</xdr:col>
          <xdr:colOff>257175</xdr:colOff>
          <xdr:row>3</xdr:row>
          <xdr:rowOff>371475</xdr:rowOff>
        </xdr:to>
        <xdr:sp macro="" textlink="">
          <xdr:nvSpPr>
            <xdr:cNvPr id="1033" name="Combo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923925</xdr:colOff>
          <xdr:row>3</xdr:row>
          <xdr:rowOff>209550</xdr:rowOff>
        </xdr:from>
        <xdr:to>
          <xdr:col>7</xdr:col>
          <xdr:colOff>190500</xdr:colOff>
          <xdr:row>3</xdr:row>
          <xdr:rowOff>419100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790575</xdr:colOff>
          <xdr:row>0</xdr:row>
          <xdr:rowOff>104775</xdr:rowOff>
        </xdr:from>
        <xdr:to>
          <xdr:col>9</xdr:col>
          <xdr:colOff>485775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Compare Stiffness integration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19050</xdr:rowOff>
        </xdr:from>
        <xdr:to>
          <xdr:col>5</xdr:col>
          <xdr:colOff>714375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3</xdr:row>
          <xdr:rowOff>66675</xdr:rowOff>
        </xdr:from>
        <xdr:to>
          <xdr:col>7</xdr:col>
          <xdr:colOff>552450</xdr:colOff>
          <xdr:row>3</xdr:row>
          <xdr:rowOff>561975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Degree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790575</xdr:colOff>
          <xdr:row>3</xdr:row>
          <xdr:rowOff>9525</xdr:rowOff>
        </xdr:from>
        <xdr:to>
          <xdr:col>10</xdr:col>
          <xdr:colOff>504825</xdr:colOff>
          <xdr:row>3</xdr:row>
          <xdr:rowOff>676275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Component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485775</xdr:colOff>
          <xdr:row>0</xdr:row>
          <xdr:rowOff>114300</xdr:rowOff>
        </xdr:from>
        <xdr:to>
          <xdr:col>17</xdr:col>
          <xdr:colOff>590550</xdr:colOff>
          <xdr:row>2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Compare Mass integration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3</xdr:row>
          <xdr:rowOff>200025</xdr:rowOff>
        </xdr:from>
        <xdr:to>
          <xdr:col>14</xdr:col>
          <xdr:colOff>133350</xdr:colOff>
          <xdr:row>3</xdr:row>
          <xdr:rowOff>447675</xdr:rowOff>
        </xdr:to>
        <xdr:sp macro="" textlink="">
          <xdr:nvSpPr>
            <xdr:cNvPr id="1039" name="ComboBox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</xdr:row>
          <xdr:rowOff>57150</xdr:rowOff>
        </xdr:from>
        <xdr:to>
          <xdr:col>14</xdr:col>
          <xdr:colOff>466725</xdr:colOff>
          <xdr:row>3</xdr:row>
          <xdr:rowOff>552450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Degree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3</xdr:row>
          <xdr:rowOff>152400</xdr:rowOff>
        </xdr:from>
        <xdr:to>
          <xdr:col>17</xdr:col>
          <xdr:colOff>19050</xdr:colOff>
          <xdr:row>3</xdr:row>
          <xdr:rowOff>400050</xdr:rowOff>
        </xdr:to>
        <xdr:sp macro="" textlink="">
          <xdr:nvSpPr>
            <xdr:cNvPr id="1041" name="ComboBox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133350</xdr:colOff>
          <xdr:row>3</xdr:row>
          <xdr:rowOff>0</xdr:rowOff>
        </xdr:from>
        <xdr:to>
          <xdr:col>17</xdr:col>
          <xdr:colOff>942975</xdr:colOff>
          <xdr:row>3</xdr:row>
          <xdr:rowOff>666750</xdr:rowOff>
        </xdr:to>
        <xdr:sp macro="" textlink="">
          <xdr:nvSpPr>
            <xdr:cNvPr id="1042" name="Group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Component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123825</xdr:rowOff>
        </xdr:from>
        <xdr:to>
          <xdr:col>7</xdr:col>
          <xdr:colOff>657225</xdr:colOff>
          <xdr:row>2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Figure Stiffness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771525</xdr:colOff>
          <xdr:row>0</xdr:row>
          <xdr:rowOff>123825</xdr:rowOff>
        </xdr:from>
        <xdr:to>
          <xdr:col>19</xdr:col>
          <xdr:colOff>476250</xdr:colOff>
          <xdr:row>2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Figure Mass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15</xdr:row>
      <xdr:rowOff>157162</xdr:rowOff>
    </xdr:from>
    <xdr:to>
      <xdr:col>19</xdr:col>
      <xdr:colOff>352425</xdr:colOff>
      <xdr:row>30</xdr:row>
      <xdr:rowOff>42862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352425</xdr:colOff>
      <xdr:row>0</xdr:row>
      <xdr:rowOff>90487</xdr:rowOff>
    </xdr:from>
    <xdr:to>
      <xdr:col>18</xdr:col>
      <xdr:colOff>47625</xdr:colOff>
      <xdr:row>12</xdr:row>
      <xdr:rowOff>166687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trlProp" Target="../ctrlProps/ctrlProp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W148"/>
  <sheetViews>
    <sheetView tabSelected="1" workbookViewId="0">
      <selection activeCell="O8" sqref="O8"/>
    </sheetView>
  </sheetViews>
  <sheetFormatPr defaultRowHeight="15" x14ac:dyDescent="0.25"/>
  <cols>
    <col min="4" max="4" width="10.5703125" style="2" customWidth="1"/>
    <col min="5" max="5" width="19.140625" customWidth="1"/>
    <col min="6" max="6" width="14.42578125" customWidth="1"/>
    <col min="7" max="7" width="16" style="2" customWidth="1"/>
    <col min="8" max="8" width="13.140625" customWidth="1"/>
    <col min="9" max="9" width="12.42578125" customWidth="1"/>
    <col min="12" max="12" width="12" bestFit="1" customWidth="1"/>
    <col min="18" max="18" width="16.28515625" customWidth="1"/>
  </cols>
  <sheetData>
    <row r="4" spans="2:23" ht="76.5" customHeight="1" x14ac:dyDescent="0.25"/>
    <row r="5" spans="2:23" s="1" customFormat="1" ht="78" customHeight="1" x14ac:dyDescent="0.25"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23" s="1" customFormat="1" ht="21.75" customHeight="1" x14ac:dyDescent="0.25">
      <c r="R6"/>
      <c r="S6"/>
    </row>
    <row r="7" spans="2:23" x14ac:dyDescent="0.25">
      <c r="B7">
        <v>1</v>
      </c>
      <c r="C7">
        <v>6</v>
      </c>
      <c r="D7" s="2">
        <v>24</v>
      </c>
      <c r="E7" t="s">
        <v>20</v>
      </c>
      <c r="F7" t="s">
        <v>13</v>
      </c>
      <c r="G7" s="2">
        <v>1</v>
      </c>
      <c r="H7">
        <v>6.6846333333300006E-2</v>
      </c>
      <c r="I7" s="3">
        <v>6.6592999999999999E-2</v>
      </c>
      <c r="J7">
        <v>155664</v>
      </c>
      <c r="K7">
        <v>27672</v>
      </c>
      <c r="L7">
        <f t="shared" ref="L7:L70" si="0">I7/J7</f>
        <v>4.2779961969369923E-7</v>
      </c>
      <c r="M7" s="3">
        <f>(H7-I7)/(2*H7)</f>
        <v>1.8948932624088086E-3</v>
      </c>
      <c r="Q7">
        <v>1</v>
      </c>
      <c r="R7" t="s">
        <v>14</v>
      </c>
      <c r="S7" t="s">
        <v>12</v>
      </c>
      <c r="T7" t="s">
        <v>20</v>
      </c>
      <c r="U7" t="s">
        <v>13</v>
      </c>
      <c r="V7" t="s">
        <v>14</v>
      </c>
      <c r="W7" t="s">
        <v>21</v>
      </c>
    </row>
    <row r="8" spans="2:23" x14ac:dyDescent="0.25">
      <c r="B8">
        <v>2</v>
      </c>
      <c r="C8">
        <v>6</v>
      </c>
      <c r="D8" s="2">
        <v>12</v>
      </c>
      <c r="E8" t="s">
        <v>20</v>
      </c>
      <c r="F8" t="s">
        <v>13</v>
      </c>
      <c r="G8" s="2">
        <v>4</v>
      </c>
      <c r="H8">
        <v>0.113325333333</v>
      </c>
      <c r="I8">
        <v>0.11314</v>
      </c>
      <c r="J8">
        <v>18216</v>
      </c>
      <c r="K8">
        <v>25967</v>
      </c>
      <c r="L8">
        <f t="shared" si="0"/>
        <v>6.211023276240668E-6</v>
      </c>
      <c r="M8" s="3">
        <f t="shared" ref="M8:M71" si="1">(H8-I8)/(2*H8)</f>
        <v>8.1770477769258811E-4</v>
      </c>
      <c r="Q8">
        <v>2</v>
      </c>
      <c r="R8" t="s">
        <v>16</v>
      </c>
      <c r="S8" t="s">
        <v>13</v>
      </c>
      <c r="T8" t="s">
        <v>23</v>
      </c>
      <c r="U8" t="s">
        <v>22</v>
      </c>
      <c r="V8" t="s">
        <v>16</v>
      </c>
      <c r="W8" t="s">
        <v>24</v>
      </c>
    </row>
    <row r="9" spans="2:23" x14ac:dyDescent="0.25">
      <c r="B9">
        <v>3</v>
      </c>
      <c r="C9">
        <v>6</v>
      </c>
      <c r="D9" s="2">
        <v>8</v>
      </c>
      <c r="E9" t="s">
        <v>20</v>
      </c>
      <c r="F9" t="s">
        <v>13</v>
      </c>
      <c r="G9" s="2">
        <v>6</v>
      </c>
      <c r="H9">
        <v>0.16122800000000001</v>
      </c>
      <c r="I9">
        <v>0.16109200000000001</v>
      </c>
      <c r="J9">
        <v>5040</v>
      </c>
      <c r="K9">
        <v>24310</v>
      </c>
      <c r="L9">
        <f t="shared" si="0"/>
        <v>3.1962698412698412E-5</v>
      </c>
      <c r="M9" s="3">
        <f t="shared" si="1"/>
        <v>4.2176296921129467E-4</v>
      </c>
      <c r="Q9">
        <v>3</v>
      </c>
      <c r="R9" t="s">
        <v>17</v>
      </c>
      <c r="S9" t="s">
        <v>0</v>
      </c>
      <c r="T9" t="s">
        <v>21</v>
      </c>
      <c r="U9" t="s">
        <v>0</v>
      </c>
      <c r="V9" t="s">
        <v>17</v>
      </c>
      <c r="W9" t="s">
        <v>23</v>
      </c>
    </row>
    <row r="10" spans="2:23" x14ac:dyDescent="0.25">
      <c r="B10">
        <v>4</v>
      </c>
      <c r="C10">
        <v>6</v>
      </c>
      <c r="D10" s="2">
        <v>6</v>
      </c>
      <c r="E10" t="s">
        <v>20</v>
      </c>
      <c r="F10" t="s">
        <v>13</v>
      </c>
      <c r="G10" s="2">
        <v>8</v>
      </c>
      <c r="H10">
        <v>0.26058033333300001</v>
      </c>
      <c r="I10">
        <v>0.26033699999999999</v>
      </c>
      <c r="J10">
        <v>1980</v>
      </c>
      <c r="K10">
        <v>22701</v>
      </c>
      <c r="L10">
        <f t="shared" si="0"/>
        <v>1.3148333333333332E-4</v>
      </c>
      <c r="M10" s="3">
        <f t="shared" si="1"/>
        <v>4.6690655792712665E-4</v>
      </c>
      <c r="Q10">
        <v>4</v>
      </c>
      <c r="R10" t="s">
        <v>15</v>
      </c>
      <c r="T10" t="s">
        <v>24</v>
      </c>
      <c r="V10" t="s">
        <v>15</v>
      </c>
      <c r="W10" t="s">
        <v>20</v>
      </c>
    </row>
    <row r="11" spans="2:23" x14ac:dyDescent="0.25">
      <c r="B11">
        <v>5</v>
      </c>
      <c r="C11">
        <v>6</v>
      </c>
      <c r="D11" s="2">
        <v>5</v>
      </c>
      <c r="E11" t="s">
        <v>20</v>
      </c>
      <c r="F11" t="s">
        <v>13</v>
      </c>
      <c r="G11" s="2">
        <v>10</v>
      </c>
      <c r="H11">
        <v>0.48734466666699999</v>
      </c>
      <c r="I11">
        <v>0.48693399999999998</v>
      </c>
      <c r="J11">
        <v>1080</v>
      </c>
      <c r="K11">
        <v>24171</v>
      </c>
      <c r="L11">
        <f t="shared" si="0"/>
        <v>4.5086481481481478E-4</v>
      </c>
      <c r="M11" s="3">
        <f t="shared" si="1"/>
        <v>4.2133083122526617E-4</v>
      </c>
      <c r="Q11">
        <v>5</v>
      </c>
      <c r="R11" t="s">
        <v>19</v>
      </c>
    </row>
    <row r="12" spans="2:23" x14ac:dyDescent="0.25">
      <c r="B12">
        <v>1</v>
      </c>
      <c r="C12">
        <v>6</v>
      </c>
      <c r="D12" s="2">
        <v>24</v>
      </c>
      <c r="E12" t="s">
        <v>20</v>
      </c>
      <c r="F12" t="s">
        <v>0</v>
      </c>
      <c r="G12" s="2">
        <v>1</v>
      </c>
      <c r="H12">
        <v>3.9878333333300001E-2</v>
      </c>
      <c r="I12">
        <v>3.9688000000000001E-2</v>
      </c>
      <c r="J12">
        <v>155664</v>
      </c>
      <c r="K12">
        <v>27672</v>
      </c>
      <c r="L12">
        <f t="shared" si="0"/>
        <v>2.5495939973275777E-7</v>
      </c>
      <c r="M12" s="3">
        <f t="shared" si="1"/>
        <v>2.386425376773001E-3</v>
      </c>
      <c r="R12" t="s">
        <v>18</v>
      </c>
    </row>
    <row r="13" spans="2:23" x14ac:dyDescent="0.25">
      <c r="B13">
        <v>2</v>
      </c>
      <c r="C13">
        <v>6</v>
      </c>
      <c r="D13" s="2">
        <v>12</v>
      </c>
      <c r="E13" t="s">
        <v>20</v>
      </c>
      <c r="F13" t="s">
        <v>0</v>
      </c>
      <c r="G13" s="2">
        <v>4</v>
      </c>
      <c r="H13">
        <v>7.7844999999999998E-3</v>
      </c>
      <c r="I13">
        <v>7.7619999999999998E-3</v>
      </c>
      <c r="J13">
        <v>18216</v>
      </c>
      <c r="K13">
        <v>25967</v>
      </c>
      <c r="L13">
        <f t="shared" si="0"/>
        <v>4.2610891523934999E-7</v>
      </c>
      <c r="M13" s="3">
        <f t="shared" si="1"/>
        <v>1.4451795234119052E-3</v>
      </c>
    </row>
    <row r="14" spans="2:23" x14ac:dyDescent="0.25">
      <c r="B14">
        <v>3</v>
      </c>
      <c r="C14">
        <v>6</v>
      </c>
      <c r="D14" s="2">
        <v>8</v>
      </c>
      <c r="E14" t="s">
        <v>20</v>
      </c>
      <c r="F14" t="s">
        <v>0</v>
      </c>
      <c r="G14" s="2">
        <v>6</v>
      </c>
      <c r="H14">
        <v>5.1588333333299997E-3</v>
      </c>
      <c r="I14">
        <v>5.13E-3</v>
      </c>
      <c r="J14">
        <v>5040</v>
      </c>
      <c r="K14">
        <v>24310</v>
      </c>
      <c r="L14">
        <f t="shared" si="0"/>
        <v>1.0178571428571429E-6</v>
      </c>
      <c r="M14" s="3">
        <f t="shared" si="1"/>
        <v>2.7945594931042222E-3</v>
      </c>
    </row>
    <row r="15" spans="2:23" x14ac:dyDescent="0.25">
      <c r="B15">
        <v>4</v>
      </c>
      <c r="C15">
        <v>6</v>
      </c>
      <c r="D15" s="2">
        <v>6</v>
      </c>
      <c r="E15" t="s">
        <v>20</v>
      </c>
      <c r="F15" t="s">
        <v>0</v>
      </c>
      <c r="G15" s="2">
        <v>8</v>
      </c>
      <c r="H15">
        <v>4.8380000000000003E-3</v>
      </c>
      <c r="I15">
        <v>4.7829999999999999E-3</v>
      </c>
      <c r="J15">
        <v>1980</v>
      </c>
      <c r="K15">
        <v>22701</v>
      </c>
      <c r="L15">
        <f t="shared" si="0"/>
        <v>2.4156565656565656E-6</v>
      </c>
      <c r="M15" s="3">
        <f t="shared" si="1"/>
        <v>5.6841670111616744E-3</v>
      </c>
    </row>
    <row r="16" spans="2:23" x14ac:dyDescent="0.25">
      <c r="B16">
        <v>5</v>
      </c>
      <c r="C16">
        <v>6</v>
      </c>
      <c r="D16" s="2">
        <v>5</v>
      </c>
      <c r="E16" t="s">
        <v>20</v>
      </c>
      <c r="F16" t="s">
        <v>0</v>
      </c>
      <c r="G16" s="2">
        <v>10</v>
      </c>
      <c r="H16">
        <v>5.8341666666699996E-3</v>
      </c>
      <c r="I16">
        <v>5.7790000000000003E-3</v>
      </c>
      <c r="J16">
        <v>1080</v>
      </c>
      <c r="K16">
        <v>24171</v>
      </c>
      <c r="L16">
        <f t="shared" si="0"/>
        <v>5.3509259259259262E-6</v>
      </c>
      <c r="M16" s="3">
        <f t="shared" si="1"/>
        <v>4.727896015137934E-3</v>
      </c>
    </row>
    <row r="17" spans="2:13" x14ac:dyDescent="0.25">
      <c r="B17">
        <v>2</v>
      </c>
      <c r="C17">
        <v>6</v>
      </c>
      <c r="D17" s="2">
        <v>12</v>
      </c>
      <c r="E17" t="s">
        <v>20</v>
      </c>
      <c r="F17" t="s">
        <v>22</v>
      </c>
      <c r="G17" s="2">
        <v>4</v>
      </c>
      <c r="H17">
        <v>0.14608266666700001</v>
      </c>
      <c r="I17">
        <v>0.145756</v>
      </c>
      <c r="J17">
        <v>18216</v>
      </c>
      <c r="K17">
        <v>25967</v>
      </c>
      <c r="L17">
        <f t="shared" si="0"/>
        <v>8.0015371102327618E-6</v>
      </c>
      <c r="M17" s="3">
        <f t="shared" si="1"/>
        <v>1.1180883894482186E-3</v>
      </c>
    </row>
    <row r="18" spans="2:13" x14ac:dyDescent="0.25">
      <c r="B18">
        <v>3</v>
      </c>
      <c r="C18">
        <v>6</v>
      </c>
      <c r="D18" s="2">
        <v>8</v>
      </c>
      <c r="E18" t="s">
        <v>20</v>
      </c>
      <c r="F18" t="s">
        <v>22</v>
      </c>
      <c r="G18" s="2">
        <v>6</v>
      </c>
      <c r="H18">
        <v>1.16427516667</v>
      </c>
      <c r="I18">
        <v>1.071985</v>
      </c>
      <c r="J18">
        <v>5040</v>
      </c>
      <c r="K18">
        <v>24310</v>
      </c>
      <c r="L18">
        <f t="shared" si="0"/>
        <v>2.1269543650793651E-4</v>
      </c>
      <c r="M18" s="3">
        <f t="shared" si="1"/>
        <v>3.9634172965298059E-2</v>
      </c>
    </row>
    <row r="19" spans="2:13" x14ac:dyDescent="0.25">
      <c r="B19">
        <v>1</v>
      </c>
      <c r="C19">
        <v>6</v>
      </c>
      <c r="D19" s="2">
        <v>72</v>
      </c>
      <c r="E19" t="s">
        <v>21</v>
      </c>
      <c r="F19" t="s">
        <v>13</v>
      </c>
      <c r="G19" s="2">
        <v>1</v>
      </c>
      <c r="H19">
        <v>3.5038833333299997E-2</v>
      </c>
      <c r="I19">
        <v>3.4923000000000003E-2</v>
      </c>
      <c r="J19">
        <v>41472</v>
      </c>
      <c r="K19">
        <v>21025</v>
      </c>
      <c r="L19">
        <f t="shared" si="0"/>
        <v>8.4208622685185189E-7</v>
      </c>
      <c r="M19" s="3">
        <f t="shared" si="1"/>
        <v>1.6529279413808203E-3</v>
      </c>
    </row>
    <row r="20" spans="2:13" x14ac:dyDescent="0.25">
      <c r="B20">
        <v>2</v>
      </c>
      <c r="C20">
        <v>6</v>
      </c>
      <c r="D20" s="2">
        <v>36</v>
      </c>
      <c r="E20" t="s">
        <v>21</v>
      </c>
      <c r="F20" t="s">
        <v>13</v>
      </c>
      <c r="G20" s="2">
        <v>4</v>
      </c>
      <c r="H20">
        <v>2.0902666666700001E-2</v>
      </c>
      <c r="I20">
        <v>2.0840000000000001E-2</v>
      </c>
      <c r="J20">
        <v>10368</v>
      </c>
      <c r="K20">
        <v>21025</v>
      </c>
      <c r="L20">
        <f t="shared" si="0"/>
        <v>2.010030864197531E-6</v>
      </c>
      <c r="M20" s="3">
        <f t="shared" si="1"/>
        <v>1.4990112912204243E-3</v>
      </c>
    </row>
    <row r="21" spans="2:13" x14ac:dyDescent="0.25">
      <c r="B21">
        <v>3</v>
      </c>
      <c r="C21">
        <v>6</v>
      </c>
      <c r="D21" s="2">
        <v>25</v>
      </c>
      <c r="E21" t="s">
        <v>21</v>
      </c>
      <c r="F21" t="s">
        <v>13</v>
      </c>
      <c r="G21" s="2">
        <v>6</v>
      </c>
      <c r="H21">
        <v>3.8798666666700003E-2</v>
      </c>
      <c r="I21">
        <v>3.8641000000000002E-2</v>
      </c>
      <c r="J21">
        <v>5000</v>
      </c>
      <c r="K21">
        <v>22801</v>
      </c>
      <c r="L21">
        <f t="shared" si="0"/>
        <v>7.7282E-6</v>
      </c>
      <c r="M21" s="3">
        <f t="shared" si="1"/>
        <v>2.0318567652651215E-3</v>
      </c>
    </row>
    <row r="22" spans="2:13" x14ac:dyDescent="0.25">
      <c r="B22">
        <v>4</v>
      </c>
      <c r="C22">
        <v>6</v>
      </c>
      <c r="D22" s="2">
        <v>18</v>
      </c>
      <c r="E22" t="s">
        <v>21</v>
      </c>
      <c r="F22" t="s">
        <v>13</v>
      </c>
      <c r="G22" s="2">
        <v>8</v>
      </c>
      <c r="H22">
        <v>4.9566499999999999E-2</v>
      </c>
      <c r="I22">
        <v>4.9418999999999998E-2</v>
      </c>
      <c r="J22">
        <v>2592</v>
      </c>
      <c r="K22">
        <v>21025</v>
      </c>
      <c r="L22">
        <f t="shared" si="0"/>
        <v>1.9065972222222221E-5</v>
      </c>
      <c r="M22" s="3">
        <f t="shared" si="1"/>
        <v>1.4879000938133799E-3</v>
      </c>
    </row>
    <row r="23" spans="2:13" x14ac:dyDescent="0.25">
      <c r="B23">
        <v>5</v>
      </c>
      <c r="C23">
        <v>6</v>
      </c>
      <c r="D23" s="2">
        <v>15</v>
      </c>
      <c r="E23" t="s">
        <v>21</v>
      </c>
      <c r="F23" t="s">
        <v>13</v>
      </c>
      <c r="G23" s="2">
        <v>10</v>
      </c>
      <c r="H23">
        <v>8.6899000000000004E-2</v>
      </c>
      <c r="I23">
        <v>8.6663000000000004E-2</v>
      </c>
      <c r="J23">
        <v>1800</v>
      </c>
      <c r="K23">
        <v>22801</v>
      </c>
      <c r="L23">
        <f t="shared" si="0"/>
        <v>4.8146111111111112E-5</v>
      </c>
      <c r="M23" s="3">
        <f t="shared" si="1"/>
        <v>1.3578982496921718E-3</v>
      </c>
    </row>
    <row r="24" spans="2:13" x14ac:dyDescent="0.25">
      <c r="B24">
        <v>1</v>
      </c>
      <c r="C24">
        <v>6</v>
      </c>
      <c r="D24" s="2">
        <v>72</v>
      </c>
      <c r="E24" t="s">
        <v>21</v>
      </c>
      <c r="F24" t="s">
        <v>0</v>
      </c>
      <c r="G24" s="2">
        <v>1</v>
      </c>
      <c r="H24">
        <v>2.9989333333299999E-2</v>
      </c>
      <c r="I24">
        <v>2.9843999999999999E-2</v>
      </c>
      <c r="J24">
        <v>41472</v>
      </c>
      <c r="K24">
        <v>21025</v>
      </c>
      <c r="L24">
        <f t="shared" si="0"/>
        <v>7.1961805555555548E-7</v>
      </c>
      <c r="M24" s="3">
        <f t="shared" si="1"/>
        <v>2.4230837625627091E-3</v>
      </c>
    </row>
    <row r="25" spans="2:13" x14ac:dyDescent="0.25">
      <c r="B25">
        <v>2</v>
      </c>
      <c r="C25">
        <v>6</v>
      </c>
      <c r="D25" s="2">
        <v>36</v>
      </c>
      <c r="E25" t="s">
        <v>21</v>
      </c>
      <c r="F25" t="s">
        <v>0</v>
      </c>
      <c r="G25" s="2">
        <v>4</v>
      </c>
      <c r="H25">
        <v>6.9350000000000002E-3</v>
      </c>
      <c r="I25">
        <v>6.9080000000000001E-3</v>
      </c>
      <c r="J25">
        <v>10368</v>
      </c>
      <c r="K25">
        <v>21025</v>
      </c>
      <c r="L25">
        <f t="shared" si="0"/>
        <v>6.6628086419753085E-7</v>
      </c>
      <c r="M25" s="3">
        <f t="shared" si="1"/>
        <v>1.9466474405191142E-3</v>
      </c>
    </row>
    <row r="26" spans="2:13" x14ac:dyDescent="0.25">
      <c r="B26">
        <v>3</v>
      </c>
      <c r="C26">
        <v>6</v>
      </c>
      <c r="D26" s="2">
        <v>25</v>
      </c>
      <c r="E26" t="s">
        <v>21</v>
      </c>
      <c r="F26" t="s">
        <v>0</v>
      </c>
      <c r="G26" s="2">
        <v>6</v>
      </c>
      <c r="H26">
        <v>4.1085000000000002E-3</v>
      </c>
      <c r="I26">
        <v>4.0730000000000002E-3</v>
      </c>
      <c r="J26">
        <v>5000</v>
      </c>
      <c r="K26">
        <v>22801</v>
      </c>
      <c r="L26">
        <f t="shared" si="0"/>
        <v>8.146E-7</v>
      </c>
      <c r="M26" s="3">
        <f t="shared" si="1"/>
        <v>4.3203115492272048E-3</v>
      </c>
    </row>
    <row r="27" spans="2:13" x14ac:dyDescent="0.25">
      <c r="B27">
        <v>4</v>
      </c>
      <c r="C27">
        <v>6</v>
      </c>
      <c r="D27" s="2">
        <v>18</v>
      </c>
      <c r="E27" t="s">
        <v>21</v>
      </c>
      <c r="F27" t="s">
        <v>0</v>
      </c>
      <c r="G27" s="2">
        <v>8</v>
      </c>
      <c r="H27">
        <v>2.8033333333300002E-3</v>
      </c>
      <c r="I27">
        <v>2.7569999999999999E-3</v>
      </c>
      <c r="J27">
        <v>2592</v>
      </c>
      <c r="K27">
        <v>21025</v>
      </c>
      <c r="L27">
        <f t="shared" si="0"/>
        <v>1.0636574074074074E-6</v>
      </c>
      <c r="M27" s="3">
        <f t="shared" si="1"/>
        <v>8.2639714619599357E-3</v>
      </c>
    </row>
    <row r="28" spans="2:13" x14ac:dyDescent="0.25">
      <c r="B28">
        <v>5</v>
      </c>
      <c r="C28">
        <v>6</v>
      </c>
      <c r="D28" s="2">
        <v>15</v>
      </c>
      <c r="E28" t="s">
        <v>21</v>
      </c>
      <c r="F28" t="s">
        <v>0</v>
      </c>
      <c r="G28" s="2">
        <v>10</v>
      </c>
      <c r="H28">
        <v>2.7088333333299998E-3</v>
      </c>
      <c r="I28">
        <v>2.676E-3</v>
      </c>
      <c r="J28">
        <v>1800</v>
      </c>
      <c r="K28">
        <v>22801</v>
      </c>
      <c r="L28">
        <f t="shared" si="0"/>
        <v>1.4866666666666667E-6</v>
      </c>
      <c r="M28" s="3">
        <f t="shared" si="1"/>
        <v>6.0604196142324861E-3</v>
      </c>
    </row>
    <row r="29" spans="2:13" x14ac:dyDescent="0.25">
      <c r="B29">
        <v>2</v>
      </c>
      <c r="C29">
        <v>6</v>
      </c>
      <c r="D29" s="2">
        <v>36</v>
      </c>
      <c r="E29" t="s">
        <v>21</v>
      </c>
      <c r="F29" t="s">
        <v>22</v>
      </c>
      <c r="G29" s="2">
        <v>4</v>
      </c>
      <c r="H29">
        <v>1.13073333333E-2</v>
      </c>
      <c r="I29">
        <v>1.1105E-2</v>
      </c>
      <c r="J29">
        <v>10368</v>
      </c>
      <c r="K29">
        <v>21025</v>
      </c>
      <c r="L29">
        <f t="shared" si="0"/>
        <v>1.0710841049382717E-6</v>
      </c>
      <c r="M29" s="3">
        <f t="shared" si="1"/>
        <v>8.9469960483135984E-3</v>
      </c>
    </row>
    <row r="30" spans="2:13" x14ac:dyDescent="0.25">
      <c r="B30">
        <v>3</v>
      </c>
      <c r="C30">
        <v>6</v>
      </c>
      <c r="D30" s="2">
        <v>25</v>
      </c>
      <c r="E30" t="s">
        <v>21</v>
      </c>
      <c r="F30" t="s">
        <v>22</v>
      </c>
      <c r="G30" s="2">
        <v>6</v>
      </c>
      <c r="H30">
        <v>1.8049333333299999E-2</v>
      </c>
      <c r="I30">
        <v>1.7984E-2</v>
      </c>
      <c r="J30">
        <v>5000</v>
      </c>
      <c r="K30">
        <v>22801</v>
      </c>
      <c r="L30">
        <f t="shared" si="0"/>
        <v>3.5968E-6</v>
      </c>
      <c r="M30" s="3">
        <f t="shared" si="1"/>
        <v>1.8098544720059869E-3</v>
      </c>
    </row>
    <row r="31" spans="2:13" x14ac:dyDescent="0.25">
      <c r="B31">
        <v>4</v>
      </c>
      <c r="C31">
        <v>6</v>
      </c>
      <c r="D31" s="2">
        <v>18</v>
      </c>
      <c r="E31" t="s">
        <v>21</v>
      </c>
      <c r="F31" t="s">
        <v>22</v>
      </c>
      <c r="G31" s="2">
        <v>8</v>
      </c>
      <c r="H31">
        <v>3.6951666666700002E-2</v>
      </c>
      <c r="I31">
        <v>3.5087E-2</v>
      </c>
      <c r="J31">
        <v>2592</v>
      </c>
      <c r="K31">
        <v>21025</v>
      </c>
      <c r="L31">
        <f t="shared" si="0"/>
        <v>1.3536651234567902E-5</v>
      </c>
      <c r="M31" s="3">
        <f t="shared" si="1"/>
        <v>2.5231157819200573E-2</v>
      </c>
    </row>
    <row r="32" spans="2:13" x14ac:dyDescent="0.25">
      <c r="B32">
        <v>5</v>
      </c>
      <c r="C32">
        <v>6</v>
      </c>
      <c r="D32" s="2">
        <v>15</v>
      </c>
      <c r="E32" t="s">
        <v>21</v>
      </c>
      <c r="F32" t="s">
        <v>22</v>
      </c>
      <c r="G32" s="2">
        <v>10</v>
      </c>
      <c r="H32">
        <v>8.6892833333300001E-2</v>
      </c>
      <c r="I32">
        <v>8.6771000000000001E-2</v>
      </c>
      <c r="J32">
        <v>1800</v>
      </c>
      <c r="K32">
        <v>22801</v>
      </c>
      <c r="L32">
        <f t="shared" si="0"/>
        <v>4.8206111111111115E-5</v>
      </c>
      <c r="M32" s="3">
        <f t="shared" si="1"/>
        <v>7.0105513093742205E-4</v>
      </c>
    </row>
    <row r="33" spans="2:13" x14ac:dyDescent="0.25">
      <c r="B33">
        <v>1</v>
      </c>
      <c r="C33">
        <v>6</v>
      </c>
      <c r="D33" s="2">
        <v>24</v>
      </c>
      <c r="E33" t="s">
        <v>23</v>
      </c>
      <c r="F33" t="s">
        <v>13</v>
      </c>
      <c r="G33" s="2">
        <v>1</v>
      </c>
      <c r="H33">
        <v>5.1347333333300001E-2</v>
      </c>
      <c r="I33">
        <v>5.1201999999999998E-2</v>
      </c>
      <c r="J33">
        <v>155664</v>
      </c>
      <c r="K33">
        <v>27672</v>
      </c>
      <c r="L33">
        <f t="shared" si="0"/>
        <v>3.2892640559153044E-7</v>
      </c>
      <c r="M33" s="3">
        <f t="shared" si="1"/>
        <v>1.4151984520464954E-3</v>
      </c>
    </row>
    <row r="34" spans="2:13" x14ac:dyDescent="0.25">
      <c r="B34">
        <v>2</v>
      </c>
      <c r="C34">
        <v>6</v>
      </c>
      <c r="D34" s="2">
        <v>12</v>
      </c>
      <c r="E34" t="s">
        <v>23</v>
      </c>
      <c r="F34" t="s">
        <v>13</v>
      </c>
      <c r="G34" s="2">
        <v>2</v>
      </c>
      <c r="H34">
        <v>4.0279333333299999E-2</v>
      </c>
      <c r="I34">
        <v>4.0196999999999997E-2</v>
      </c>
      <c r="J34">
        <v>18216</v>
      </c>
      <c r="K34">
        <v>25967</v>
      </c>
      <c r="L34">
        <f t="shared" si="0"/>
        <v>2.2066864295125161E-6</v>
      </c>
      <c r="M34" s="3">
        <f t="shared" si="1"/>
        <v>1.0220294936204347E-3</v>
      </c>
    </row>
    <row r="35" spans="2:13" x14ac:dyDescent="0.25">
      <c r="B35">
        <v>3</v>
      </c>
      <c r="C35">
        <v>6</v>
      </c>
      <c r="D35" s="2">
        <v>8</v>
      </c>
      <c r="E35" t="s">
        <v>23</v>
      </c>
      <c r="F35" t="s">
        <v>13</v>
      </c>
      <c r="G35" s="2">
        <v>3</v>
      </c>
      <c r="H35">
        <v>3.0530333333299998E-2</v>
      </c>
      <c r="I35">
        <v>3.0446999999999998E-2</v>
      </c>
      <c r="J35">
        <v>5040</v>
      </c>
      <c r="K35">
        <v>24310</v>
      </c>
      <c r="L35">
        <f t="shared" si="0"/>
        <v>6.0410714285714285E-6</v>
      </c>
      <c r="M35" s="3">
        <f t="shared" si="1"/>
        <v>1.3647629128422734E-3</v>
      </c>
    </row>
    <row r="36" spans="2:13" x14ac:dyDescent="0.25">
      <c r="B36">
        <v>4</v>
      </c>
      <c r="C36">
        <v>6</v>
      </c>
      <c r="D36" s="2">
        <v>6</v>
      </c>
      <c r="E36" t="s">
        <v>23</v>
      </c>
      <c r="F36" t="s">
        <v>13</v>
      </c>
      <c r="G36" s="2">
        <v>4</v>
      </c>
      <c r="H36">
        <v>5.6829999999999999E-2</v>
      </c>
      <c r="I36">
        <v>5.6689999999999997E-2</v>
      </c>
      <c r="J36">
        <v>1980</v>
      </c>
      <c r="K36">
        <v>22701</v>
      </c>
      <c r="L36">
        <f t="shared" si="0"/>
        <v>2.863131313131313E-5</v>
      </c>
      <c r="M36" s="3">
        <f t="shared" si="1"/>
        <v>1.2317437972901746E-3</v>
      </c>
    </row>
    <row r="37" spans="2:13" x14ac:dyDescent="0.25">
      <c r="B37">
        <v>5</v>
      </c>
      <c r="C37">
        <v>6</v>
      </c>
      <c r="D37" s="2">
        <v>5</v>
      </c>
      <c r="E37" t="s">
        <v>23</v>
      </c>
      <c r="F37" t="s">
        <v>13</v>
      </c>
      <c r="G37" s="2">
        <v>5</v>
      </c>
      <c r="H37">
        <v>7.4998499999999996E-2</v>
      </c>
      <c r="I37">
        <v>7.4871999999999994E-2</v>
      </c>
      <c r="J37">
        <v>1080</v>
      </c>
      <c r="K37">
        <v>24171</v>
      </c>
      <c r="L37">
        <f t="shared" si="0"/>
        <v>6.9325925925925916E-5</v>
      </c>
      <c r="M37" s="3">
        <f t="shared" si="1"/>
        <v>8.4335020033735086E-4</v>
      </c>
    </row>
    <row r="38" spans="2:13" x14ac:dyDescent="0.25">
      <c r="B38">
        <v>1</v>
      </c>
      <c r="C38">
        <v>6</v>
      </c>
      <c r="D38" s="2">
        <v>24</v>
      </c>
      <c r="E38" t="s">
        <v>23</v>
      </c>
      <c r="F38" t="s">
        <v>0</v>
      </c>
      <c r="G38" s="2">
        <v>1</v>
      </c>
      <c r="H38">
        <v>2.35036666667E-2</v>
      </c>
      <c r="I38">
        <v>2.3303000000000001E-2</v>
      </c>
      <c r="J38">
        <v>155664</v>
      </c>
      <c r="K38">
        <v>27672</v>
      </c>
      <c r="L38">
        <f t="shared" si="0"/>
        <v>1.4970063727001749E-7</v>
      </c>
      <c r="M38" s="3">
        <f t="shared" si="1"/>
        <v>4.26883748705269E-3</v>
      </c>
    </row>
    <row r="39" spans="2:13" x14ac:dyDescent="0.25">
      <c r="B39">
        <v>2</v>
      </c>
      <c r="C39">
        <v>6</v>
      </c>
      <c r="D39" s="2">
        <v>12</v>
      </c>
      <c r="E39" t="s">
        <v>23</v>
      </c>
      <c r="F39" t="s">
        <v>0</v>
      </c>
      <c r="G39" s="2">
        <v>2</v>
      </c>
      <c r="H39">
        <v>3.1663333333299998E-3</v>
      </c>
      <c r="I39">
        <v>3.1389999999999999E-3</v>
      </c>
      <c r="J39">
        <v>18216</v>
      </c>
      <c r="K39">
        <v>25967</v>
      </c>
      <c r="L39">
        <f t="shared" si="0"/>
        <v>1.7232103645147123E-7</v>
      </c>
      <c r="M39" s="3">
        <f t="shared" si="1"/>
        <v>4.3162438146165981E-3</v>
      </c>
    </row>
    <row r="40" spans="2:13" x14ac:dyDescent="0.25">
      <c r="B40">
        <v>3</v>
      </c>
      <c r="C40">
        <v>6</v>
      </c>
      <c r="D40" s="2">
        <v>8</v>
      </c>
      <c r="E40" t="s">
        <v>23</v>
      </c>
      <c r="F40" t="s">
        <v>0</v>
      </c>
      <c r="G40" s="2">
        <v>3</v>
      </c>
      <c r="H40">
        <v>1.20066666667E-3</v>
      </c>
      <c r="I40">
        <v>1.1820000000000001E-3</v>
      </c>
      <c r="J40">
        <v>5040</v>
      </c>
      <c r="K40">
        <v>24310</v>
      </c>
      <c r="L40">
        <f t="shared" si="0"/>
        <v>2.3452380952380955E-7</v>
      </c>
      <c r="M40" s="3">
        <f t="shared" si="1"/>
        <v>7.7734591907057454E-3</v>
      </c>
    </row>
    <row r="41" spans="2:13" x14ac:dyDescent="0.25">
      <c r="B41">
        <v>4</v>
      </c>
      <c r="C41">
        <v>6</v>
      </c>
      <c r="D41" s="2">
        <v>6</v>
      </c>
      <c r="E41" t="s">
        <v>23</v>
      </c>
      <c r="F41" t="s">
        <v>0</v>
      </c>
      <c r="G41" s="2">
        <v>4</v>
      </c>
      <c r="H41">
        <v>6.8933333333299996E-4</v>
      </c>
      <c r="I41">
        <v>6.4800000000000003E-4</v>
      </c>
      <c r="J41">
        <v>1980</v>
      </c>
      <c r="K41">
        <v>22701</v>
      </c>
      <c r="L41">
        <f t="shared" si="0"/>
        <v>3.2727272727272728E-7</v>
      </c>
      <c r="M41" s="3">
        <f t="shared" si="1"/>
        <v>2.9980657640004779E-2</v>
      </c>
    </row>
    <row r="42" spans="2:13" x14ac:dyDescent="0.25">
      <c r="B42">
        <v>5</v>
      </c>
      <c r="C42">
        <v>6</v>
      </c>
      <c r="D42" s="2">
        <v>5</v>
      </c>
      <c r="E42" t="s">
        <v>23</v>
      </c>
      <c r="F42" t="s">
        <v>0</v>
      </c>
      <c r="G42" s="2">
        <v>5</v>
      </c>
      <c r="H42">
        <v>5.4883333333299996E-4</v>
      </c>
      <c r="I42">
        <v>5.31E-4</v>
      </c>
      <c r="J42">
        <v>1080</v>
      </c>
      <c r="K42">
        <v>24171</v>
      </c>
      <c r="L42">
        <f t="shared" si="0"/>
        <v>4.9166666666666669E-7</v>
      </c>
      <c r="M42" s="3">
        <f t="shared" si="1"/>
        <v>1.6246583662020156E-2</v>
      </c>
    </row>
    <row r="43" spans="2:13" x14ac:dyDescent="0.25">
      <c r="B43">
        <v>2</v>
      </c>
      <c r="C43">
        <v>6</v>
      </c>
      <c r="D43" s="2">
        <v>12</v>
      </c>
      <c r="E43" t="s">
        <v>23</v>
      </c>
      <c r="F43" t="s">
        <v>22</v>
      </c>
      <c r="G43" s="2">
        <v>2</v>
      </c>
      <c r="H43">
        <v>5.4424500000000001E-2</v>
      </c>
      <c r="I43">
        <v>5.3504999999999997E-2</v>
      </c>
      <c r="J43">
        <v>18216</v>
      </c>
      <c r="K43">
        <v>25967</v>
      </c>
      <c r="L43">
        <f t="shared" si="0"/>
        <v>2.9372529644268774E-6</v>
      </c>
      <c r="M43" s="3">
        <f t="shared" si="1"/>
        <v>8.4474822919825051E-3</v>
      </c>
    </row>
    <row r="44" spans="2:13" x14ac:dyDescent="0.25">
      <c r="B44">
        <v>3</v>
      </c>
      <c r="C44">
        <v>6</v>
      </c>
      <c r="D44" s="2">
        <v>8</v>
      </c>
      <c r="E44" t="s">
        <v>23</v>
      </c>
      <c r="F44" t="s">
        <v>22</v>
      </c>
      <c r="G44" s="2">
        <v>3</v>
      </c>
      <c r="H44">
        <v>0.22553583333300001</v>
      </c>
      <c r="I44" s="3">
        <v>0.22160099999999999</v>
      </c>
      <c r="J44">
        <v>5040</v>
      </c>
      <c r="K44">
        <v>24310</v>
      </c>
      <c r="L44">
        <f t="shared" si="0"/>
        <v>4.3968452380952376E-5</v>
      </c>
      <c r="M44" s="3">
        <f t="shared" si="1"/>
        <v>8.7232996966612776E-3</v>
      </c>
    </row>
    <row r="45" spans="2:13" x14ac:dyDescent="0.25">
      <c r="B45">
        <v>1</v>
      </c>
      <c r="C45">
        <v>6</v>
      </c>
      <c r="D45" s="2">
        <v>72</v>
      </c>
      <c r="E45" t="s">
        <v>24</v>
      </c>
      <c r="F45" t="s">
        <v>13</v>
      </c>
      <c r="G45" s="2">
        <v>1</v>
      </c>
      <c r="H45">
        <v>3.1598333333299998E-2</v>
      </c>
      <c r="I45">
        <v>3.1466000000000001E-2</v>
      </c>
      <c r="J45">
        <v>41472</v>
      </c>
      <c r="K45">
        <v>21025</v>
      </c>
      <c r="L45">
        <f t="shared" si="0"/>
        <v>7.5872878086419758E-7</v>
      </c>
      <c r="M45" s="3">
        <f t="shared" si="1"/>
        <v>2.093992298646606E-3</v>
      </c>
    </row>
    <row r="46" spans="2:13" x14ac:dyDescent="0.25">
      <c r="B46">
        <v>2</v>
      </c>
      <c r="C46">
        <v>6</v>
      </c>
      <c r="D46" s="2">
        <v>36</v>
      </c>
      <c r="E46" t="s">
        <v>24</v>
      </c>
      <c r="F46" t="s">
        <v>13</v>
      </c>
      <c r="G46" s="2">
        <v>2</v>
      </c>
      <c r="H46">
        <v>1.23365E-2</v>
      </c>
      <c r="I46">
        <v>1.2253E-2</v>
      </c>
      <c r="J46">
        <v>10368</v>
      </c>
      <c r="K46">
        <v>21025</v>
      </c>
      <c r="L46">
        <f t="shared" si="0"/>
        <v>1.181809413580247E-6</v>
      </c>
      <c r="M46" s="3">
        <f t="shared" si="1"/>
        <v>3.3842662019211382E-3</v>
      </c>
    </row>
    <row r="47" spans="2:13" x14ac:dyDescent="0.25">
      <c r="B47">
        <v>3</v>
      </c>
      <c r="C47">
        <v>6</v>
      </c>
      <c r="D47" s="2">
        <v>25</v>
      </c>
      <c r="E47" t="s">
        <v>24</v>
      </c>
      <c r="F47" t="s">
        <v>13</v>
      </c>
      <c r="G47" s="2">
        <v>3</v>
      </c>
      <c r="H47">
        <v>1.341E-2</v>
      </c>
      <c r="I47">
        <v>1.3362000000000001E-2</v>
      </c>
      <c r="J47">
        <v>5000</v>
      </c>
      <c r="K47">
        <v>22801</v>
      </c>
      <c r="L47">
        <f t="shared" si="0"/>
        <v>2.6724E-6</v>
      </c>
      <c r="M47" s="3">
        <f t="shared" si="1"/>
        <v>1.7897091722594866E-3</v>
      </c>
    </row>
    <row r="48" spans="2:13" x14ac:dyDescent="0.25">
      <c r="B48">
        <v>4</v>
      </c>
      <c r="C48">
        <v>6</v>
      </c>
      <c r="D48" s="2">
        <v>18</v>
      </c>
      <c r="E48" t="s">
        <v>24</v>
      </c>
      <c r="F48" t="s">
        <v>13</v>
      </c>
      <c r="G48" s="2">
        <v>4</v>
      </c>
      <c r="H48">
        <v>1.7643333333299999E-2</v>
      </c>
      <c r="I48">
        <v>1.7583999999999999E-2</v>
      </c>
      <c r="J48">
        <v>2592</v>
      </c>
      <c r="K48">
        <v>21025</v>
      </c>
      <c r="L48">
        <f t="shared" si="0"/>
        <v>6.7839506172839505E-6</v>
      </c>
      <c r="M48" s="3">
        <f t="shared" si="1"/>
        <v>1.6814660863436379E-3</v>
      </c>
    </row>
    <row r="49" spans="2:13" x14ac:dyDescent="0.25">
      <c r="B49">
        <v>5</v>
      </c>
      <c r="C49">
        <v>6</v>
      </c>
      <c r="D49" s="2">
        <v>15</v>
      </c>
      <c r="E49" t="s">
        <v>24</v>
      </c>
      <c r="F49" t="s">
        <v>13</v>
      </c>
      <c r="G49" s="2">
        <v>5</v>
      </c>
      <c r="H49">
        <v>2.3374333333299999E-2</v>
      </c>
      <c r="I49">
        <v>2.3317999999999998E-2</v>
      </c>
      <c r="J49">
        <v>1800</v>
      </c>
      <c r="K49">
        <v>22801</v>
      </c>
      <c r="L49">
        <f t="shared" si="0"/>
        <v>1.2954444444444443E-5</v>
      </c>
      <c r="M49" s="3">
        <f t="shared" si="1"/>
        <v>1.205025454560156E-3</v>
      </c>
    </row>
    <row r="50" spans="2:13" x14ac:dyDescent="0.25">
      <c r="B50">
        <v>1</v>
      </c>
      <c r="C50">
        <v>6</v>
      </c>
      <c r="D50" s="2">
        <v>72</v>
      </c>
      <c r="E50" t="s">
        <v>24</v>
      </c>
      <c r="F50" t="s">
        <v>0</v>
      </c>
      <c r="G50" s="2">
        <v>1</v>
      </c>
      <c r="H50">
        <v>2.6489333333299999E-2</v>
      </c>
      <c r="I50">
        <v>2.6405999999999999E-2</v>
      </c>
      <c r="J50">
        <v>41472</v>
      </c>
      <c r="K50">
        <v>21025</v>
      </c>
      <c r="L50">
        <f t="shared" si="0"/>
        <v>6.3671875000000002E-7</v>
      </c>
      <c r="M50" s="3">
        <f t="shared" si="1"/>
        <v>1.572960184604589E-3</v>
      </c>
    </row>
    <row r="51" spans="2:13" x14ac:dyDescent="0.25">
      <c r="B51">
        <v>2</v>
      </c>
      <c r="C51">
        <v>6</v>
      </c>
      <c r="D51" s="2">
        <v>36</v>
      </c>
      <c r="E51" t="s">
        <v>24</v>
      </c>
      <c r="F51" t="s">
        <v>0</v>
      </c>
      <c r="G51" s="2">
        <v>2</v>
      </c>
      <c r="H51">
        <v>5.4914999999999999E-3</v>
      </c>
      <c r="I51">
        <v>5.4460000000000003E-3</v>
      </c>
      <c r="J51">
        <v>10368</v>
      </c>
      <c r="K51">
        <v>21025</v>
      </c>
      <c r="L51">
        <f t="shared" si="0"/>
        <v>5.2527006172839508E-7</v>
      </c>
      <c r="M51" s="3">
        <f t="shared" si="1"/>
        <v>4.1427660930528579E-3</v>
      </c>
    </row>
    <row r="52" spans="2:13" x14ac:dyDescent="0.25">
      <c r="B52">
        <v>3</v>
      </c>
      <c r="C52">
        <v>6</v>
      </c>
      <c r="D52" s="2">
        <v>25</v>
      </c>
      <c r="E52" t="s">
        <v>24</v>
      </c>
      <c r="F52" t="s">
        <v>0</v>
      </c>
      <c r="G52" s="2">
        <v>3</v>
      </c>
      <c r="H52">
        <v>2.784E-3</v>
      </c>
      <c r="I52">
        <v>2.7529999999999998E-3</v>
      </c>
      <c r="J52">
        <v>5000</v>
      </c>
      <c r="K52">
        <v>22801</v>
      </c>
      <c r="L52">
        <f t="shared" si="0"/>
        <v>5.5059999999999997E-7</v>
      </c>
      <c r="M52" s="3">
        <f t="shared" si="1"/>
        <v>5.5675287356322222E-3</v>
      </c>
    </row>
    <row r="53" spans="2:13" x14ac:dyDescent="0.25">
      <c r="B53">
        <v>4</v>
      </c>
      <c r="C53">
        <v>6</v>
      </c>
      <c r="D53" s="2">
        <v>18</v>
      </c>
      <c r="E53" t="s">
        <v>24</v>
      </c>
      <c r="F53" t="s">
        <v>0</v>
      </c>
      <c r="G53" s="2">
        <v>4</v>
      </c>
      <c r="H53">
        <v>1.52933333333E-3</v>
      </c>
      <c r="I53">
        <v>1.495E-3</v>
      </c>
      <c r="J53">
        <v>2592</v>
      </c>
      <c r="K53">
        <v>21025</v>
      </c>
      <c r="L53">
        <f t="shared" si="0"/>
        <v>5.7677469135802465E-7</v>
      </c>
      <c r="M53" s="3">
        <f t="shared" si="1"/>
        <v>1.1224934610966051E-2</v>
      </c>
    </row>
    <row r="54" spans="2:13" x14ac:dyDescent="0.25">
      <c r="B54">
        <v>5</v>
      </c>
      <c r="C54">
        <v>6</v>
      </c>
      <c r="D54" s="2">
        <v>15</v>
      </c>
      <c r="E54" t="s">
        <v>24</v>
      </c>
      <c r="F54" t="s">
        <v>0</v>
      </c>
      <c r="G54" s="2">
        <v>5</v>
      </c>
      <c r="H54">
        <v>1.2423333333300001E-3</v>
      </c>
      <c r="I54">
        <v>1.217E-3</v>
      </c>
      <c r="J54">
        <v>1800</v>
      </c>
      <c r="K54">
        <v>22801</v>
      </c>
      <c r="L54">
        <f t="shared" si="0"/>
        <v>6.7611111111111107E-7</v>
      </c>
      <c r="M54" s="3">
        <f t="shared" si="1"/>
        <v>1.0195867989026591E-2</v>
      </c>
    </row>
    <row r="55" spans="2:13" x14ac:dyDescent="0.25">
      <c r="B55">
        <v>2</v>
      </c>
      <c r="C55">
        <v>6</v>
      </c>
      <c r="D55" s="2">
        <v>36</v>
      </c>
      <c r="E55" t="s">
        <v>24</v>
      </c>
      <c r="F55" t="s">
        <v>22</v>
      </c>
      <c r="G55" s="2">
        <v>2</v>
      </c>
      <c r="H55">
        <v>7.9576666666700008E-3</v>
      </c>
      <c r="I55">
        <v>7.9150000000000002E-3</v>
      </c>
      <c r="J55">
        <v>10368</v>
      </c>
      <c r="K55">
        <v>21025</v>
      </c>
      <c r="L55">
        <f t="shared" si="0"/>
        <v>7.6340663580246917E-7</v>
      </c>
      <c r="M55" s="3">
        <f t="shared" si="1"/>
        <v>2.6808528465200945E-3</v>
      </c>
    </row>
    <row r="56" spans="2:13" x14ac:dyDescent="0.25">
      <c r="B56">
        <v>3</v>
      </c>
      <c r="C56">
        <v>6</v>
      </c>
      <c r="D56" s="2">
        <v>25</v>
      </c>
      <c r="E56" t="s">
        <v>24</v>
      </c>
      <c r="F56" t="s">
        <v>22</v>
      </c>
      <c r="G56" s="2">
        <v>3</v>
      </c>
      <c r="H56">
        <v>7.5301666666700001E-3</v>
      </c>
      <c r="I56">
        <v>7.4320000000000002E-3</v>
      </c>
      <c r="J56">
        <v>5000</v>
      </c>
      <c r="K56">
        <v>22801</v>
      </c>
      <c r="L56">
        <f t="shared" si="0"/>
        <v>1.4864000000000001E-6</v>
      </c>
      <c r="M56" s="3">
        <f t="shared" si="1"/>
        <v>6.5182266884280795E-3</v>
      </c>
    </row>
    <row r="57" spans="2:13" x14ac:dyDescent="0.25">
      <c r="B57">
        <v>4</v>
      </c>
      <c r="C57">
        <v>6</v>
      </c>
      <c r="D57" s="2">
        <v>18</v>
      </c>
      <c r="E57" t="s">
        <v>24</v>
      </c>
      <c r="F57" t="s">
        <v>22</v>
      </c>
      <c r="G57" s="2">
        <v>4</v>
      </c>
      <c r="H57">
        <v>9.5916666666699991E-3</v>
      </c>
      <c r="I57">
        <v>9.3989999999999994E-3</v>
      </c>
      <c r="J57">
        <v>2592</v>
      </c>
      <c r="K57">
        <v>21025</v>
      </c>
      <c r="L57">
        <f t="shared" si="0"/>
        <v>3.626157407407407E-6</v>
      </c>
      <c r="M57" s="3">
        <f t="shared" si="1"/>
        <v>1.0043440486703709E-2</v>
      </c>
    </row>
    <row r="58" spans="2:13" x14ac:dyDescent="0.25">
      <c r="B58">
        <v>5</v>
      </c>
      <c r="C58">
        <v>6</v>
      </c>
      <c r="D58" s="2">
        <v>15</v>
      </c>
      <c r="E58" t="s">
        <v>24</v>
      </c>
      <c r="F58" t="s">
        <v>22</v>
      </c>
      <c r="G58" s="2">
        <v>5</v>
      </c>
      <c r="H58">
        <v>1.6688833333299999E-2</v>
      </c>
      <c r="I58">
        <v>1.6275999999999999E-2</v>
      </c>
      <c r="J58">
        <v>1800</v>
      </c>
      <c r="K58">
        <v>22801</v>
      </c>
      <c r="L58">
        <f t="shared" si="0"/>
        <v>9.0422222222222207E-6</v>
      </c>
      <c r="M58" s="3">
        <f t="shared" si="1"/>
        <v>1.2368549827753827E-2</v>
      </c>
    </row>
    <row r="59" spans="2:13" x14ac:dyDescent="0.25">
      <c r="B59">
        <v>1</v>
      </c>
      <c r="C59">
        <v>6</v>
      </c>
      <c r="D59" s="2">
        <v>24</v>
      </c>
      <c r="E59" t="s">
        <v>14</v>
      </c>
      <c r="F59" t="s">
        <v>13</v>
      </c>
      <c r="G59" s="2">
        <v>1</v>
      </c>
      <c r="H59">
        <v>0.117737166667</v>
      </c>
      <c r="I59">
        <v>0.11706999999999999</v>
      </c>
      <c r="J59">
        <v>155664</v>
      </c>
      <c r="K59">
        <v>27672</v>
      </c>
      <c r="L59">
        <f t="shared" si="0"/>
        <v>7.520685579196217E-7</v>
      </c>
      <c r="M59" s="3">
        <f t="shared" si="1"/>
        <v>2.8332882720329832E-3</v>
      </c>
    </row>
    <row r="60" spans="2:13" x14ac:dyDescent="0.25">
      <c r="B60">
        <v>2</v>
      </c>
      <c r="C60">
        <v>6</v>
      </c>
      <c r="D60" s="2">
        <v>12</v>
      </c>
      <c r="E60" t="s">
        <v>14</v>
      </c>
      <c r="F60" t="s">
        <v>13</v>
      </c>
      <c r="G60" s="2">
        <v>2</v>
      </c>
      <c r="H60">
        <v>0.178561</v>
      </c>
      <c r="I60">
        <v>0.17810799999999999</v>
      </c>
      <c r="J60">
        <v>18216</v>
      </c>
      <c r="K60">
        <v>25967</v>
      </c>
      <c r="L60">
        <f t="shared" si="0"/>
        <v>9.777558190601669E-6</v>
      </c>
      <c r="M60" s="3">
        <f t="shared" si="1"/>
        <v>1.2684740788862321E-3</v>
      </c>
    </row>
    <row r="61" spans="2:13" x14ac:dyDescent="0.25">
      <c r="B61">
        <v>3</v>
      </c>
      <c r="C61">
        <v>6</v>
      </c>
      <c r="D61" s="2">
        <v>8</v>
      </c>
      <c r="E61" t="s">
        <v>14</v>
      </c>
      <c r="F61" t="s">
        <v>13</v>
      </c>
      <c r="G61" s="2">
        <v>4</v>
      </c>
      <c r="H61">
        <v>0.44210300000000002</v>
      </c>
      <c r="I61">
        <v>0.43553399999999998</v>
      </c>
      <c r="J61">
        <v>5040</v>
      </c>
      <c r="K61">
        <v>24310</v>
      </c>
      <c r="L61">
        <f t="shared" si="0"/>
        <v>8.6415476190476189E-5</v>
      </c>
      <c r="M61" s="3">
        <f t="shared" si="1"/>
        <v>7.4292642212335658E-3</v>
      </c>
    </row>
    <row r="62" spans="2:13" x14ac:dyDescent="0.25">
      <c r="B62">
        <v>4</v>
      </c>
      <c r="C62">
        <v>6</v>
      </c>
      <c r="D62" s="2">
        <v>6</v>
      </c>
      <c r="E62" t="s">
        <v>14</v>
      </c>
      <c r="F62" t="s">
        <v>13</v>
      </c>
      <c r="G62" s="2">
        <v>6</v>
      </c>
      <c r="H62">
        <v>1.11171966667</v>
      </c>
      <c r="I62">
        <v>1.1102879999999999</v>
      </c>
      <c r="J62">
        <v>1980</v>
      </c>
      <c r="K62">
        <v>22701</v>
      </c>
      <c r="L62">
        <f t="shared" si="0"/>
        <v>5.6075151515151515E-4</v>
      </c>
      <c r="M62" s="3">
        <f t="shared" si="1"/>
        <v>6.438973389255629E-4</v>
      </c>
    </row>
    <row r="63" spans="2:13" x14ac:dyDescent="0.25">
      <c r="B63">
        <v>5</v>
      </c>
      <c r="C63">
        <v>6</v>
      </c>
      <c r="D63" s="2">
        <v>5</v>
      </c>
      <c r="E63" t="s">
        <v>14</v>
      </c>
      <c r="F63" t="s">
        <v>13</v>
      </c>
      <c r="G63" s="2">
        <v>8</v>
      </c>
      <c r="H63">
        <v>2.93877066667</v>
      </c>
      <c r="I63">
        <v>2.933859</v>
      </c>
      <c r="J63">
        <v>1080</v>
      </c>
      <c r="K63">
        <v>24171</v>
      </c>
      <c r="L63">
        <f t="shared" si="0"/>
        <v>2.7165361111111111E-3</v>
      </c>
      <c r="M63" s="3">
        <f t="shared" si="1"/>
        <v>8.3566688712827036E-4</v>
      </c>
    </row>
    <row r="64" spans="2:13" x14ac:dyDescent="0.25">
      <c r="B64">
        <v>1</v>
      </c>
      <c r="C64">
        <v>6</v>
      </c>
      <c r="D64" s="2">
        <v>24</v>
      </c>
      <c r="E64" t="s">
        <v>14</v>
      </c>
      <c r="F64" t="s">
        <v>12</v>
      </c>
      <c r="G64" s="2">
        <v>1</v>
      </c>
      <c r="H64">
        <v>0.116601166667</v>
      </c>
      <c r="I64">
        <v>0.11597</v>
      </c>
      <c r="J64">
        <v>155664</v>
      </c>
      <c r="K64">
        <v>27672</v>
      </c>
      <c r="L64">
        <f t="shared" si="0"/>
        <v>7.4500205570973378E-7</v>
      </c>
      <c r="M64" s="3">
        <f t="shared" si="1"/>
        <v>2.7065195188078236E-3</v>
      </c>
    </row>
    <row r="65" spans="2:13" x14ac:dyDescent="0.25">
      <c r="B65">
        <v>2</v>
      </c>
      <c r="C65">
        <v>6</v>
      </c>
      <c r="D65" s="2">
        <v>12</v>
      </c>
      <c r="E65" t="s">
        <v>14</v>
      </c>
      <c r="F65" t="s">
        <v>12</v>
      </c>
      <c r="G65" s="2">
        <v>2</v>
      </c>
      <c r="H65">
        <v>0.33267449999999998</v>
      </c>
      <c r="I65">
        <v>0.331096</v>
      </c>
      <c r="J65">
        <v>18216</v>
      </c>
      <c r="K65">
        <v>25967</v>
      </c>
      <c r="L65">
        <f t="shared" si="0"/>
        <v>1.8176108915239349E-5</v>
      </c>
      <c r="M65" s="3">
        <f t="shared" si="1"/>
        <v>2.3724391259323796E-3</v>
      </c>
    </row>
    <row r="66" spans="2:13" x14ac:dyDescent="0.25">
      <c r="B66">
        <v>3</v>
      </c>
      <c r="C66">
        <v>6</v>
      </c>
      <c r="D66" s="2">
        <v>8</v>
      </c>
      <c r="E66" t="s">
        <v>14</v>
      </c>
      <c r="F66" t="s">
        <v>12</v>
      </c>
      <c r="G66" s="2">
        <v>4</v>
      </c>
      <c r="H66">
        <v>0.77392749999999999</v>
      </c>
      <c r="I66">
        <v>0.77161900000000005</v>
      </c>
      <c r="J66">
        <v>5040</v>
      </c>
      <c r="K66">
        <v>24310</v>
      </c>
      <c r="L66">
        <f t="shared" si="0"/>
        <v>1.5309900793650794E-4</v>
      </c>
      <c r="M66" s="3">
        <f t="shared" si="1"/>
        <v>1.491418769845971E-3</v>
      </c>
    </row>
    <row r="67" spans="2:13" x14ac:dyDescent="0.25">
      <c r="B67">
        <v>4</v>
      </c>
      <c r="C67">
        <v>6</v>
      </c>
      <c r="D67" s="2">
        <v>6</v>
      </c>
      <c r="E67" t="s">
        <v>14</v>
      </c>
      <c r="F67" t="s">
        <v>12</v>
      </c>
      <c r="G67" s="2">
        <v>6</v>
      </c>
      <c r="H67">
        <v>1.8529343333299999</v>
      </c>
      <c r="I67">
        <v>1.8471470000000001</v>
      </c>
      <c r="J67">
        <v>1980</v>
      </c>
      <c r="K67">
        <v>22701</v>
      </c>
      <c r="L67">
        <f t="shared" si="0"/>
        <v>9.3290252525252528E-4</v>
      </c>
      <c r="M67" s="3">
        <f t="shared" si="1"/>
        <v>1.5616671421914633E-3</v>
      </c>
    </row>
    <row r="68" spans="2:13" x14ac:dyDescent="0.25">
      <c r="B68">
        <v>5</v>
      </c>
      <c r="C68">
        <v>6</v>
      </c>
      <c r="D68" s="2">
        <v>5</v>
      </c>
      <c r="E68" t="s">
        <v>14</v>
      </c>
      <c r="F68" t="s">
        <v>12</v>
      </c>
      <c r="G68" s="2">
        <v>8</v>
      </c>
      <c r="H68">
        <v>4.6373696666699997</v>
      </c>
      <c r="I68">
        <v>4.6074520000000003</v>
      </c>
      <c r="J68">
        <v>1080</v>
      </c>
      <c r="K68">
        <v>24171</v>
      </c>
      <c r="L68">
        <f t="shared" si="0"/>
        <v>4.2661592592592593E-3</v>
      </c>
      <c r="M68" s="3">
        <f t="shared" si="1"/>
        <v>3.2257150950274214E-3</v>
      </c>
    </row>
    <row r="69" spans="2:13" x14ac:dyDescent="0.25">
      <c r="B69">
        <v>1</v>
      </c>
      <c r="C69">
        <v>6</v>
      </c>
      <c r="D69" s="2">
        <v>24</v>
      </c>
      <c r="E69" t="s">
        <v>14</v>
      </c>
      <c r="F69" t="s">
        <v>0</v>
      </c>
      <c r="G69" s="2">
        <v>1</v>
      </c>
      <c r="H69">
        <v>0.117416833333</v>
      </c>
      <c r="I69">
        <v>0.117217</v>
      </c>
      <c r="J69">
        <v>155664</v>
      </c>
      <c r="K69">
        <v>27672</v>
      </c>
      <c r="L69">
        <f t="shared" si="0"/>
        <v>7.5301289957857954E-7</v>
      </c>
      <c r="M69" s="3">
        <f t="shared" si="1"/>
        <v>8.5095691702595044E-4</v>
      </c>
    </row>
    <row r="70" spans="2:13" x14ac:dyDescent="0.25">
      <c r="B70">
        <v>2</v>
      </c>
      <c r="C70">
        <v>6</v>
      </c>
      <c r="D70" s="2">
        <v>12</v>
      </c>
      <c r="E70" t="s">
        <v>14</v>
      </c>
      <c r="F70" t="s">
        <v>0</v>
      </c>
      <c r="G70" s="2">
        <v>2</v>
      </c>
      <c r="H70">
        <v>5.9042333333300001E-2</v>
      </c>
      <c r="I70">
        <v>5.8879000000000001E-2</v>
      </c>
      <c r="J70">
        <v>18216</v>
      </c>
      <c r="K70">
        <v>25967</v>
      </c>
      <c r="L70">
        <f t="shared" si="0"/>
        <v>3.232268335529205E-6</v>
      </c>
      <c r="M70" s="3">
        <f t="shared" si="1"/>
        <v>1.3831883335128964E-3</v>
      </c>
    </row>
    <row r="71" spans="2:13" x14ac:dyDescent="0.25">
      <c r="B71">
        <v>3</v>
      </c>
      <c r="C71">
        <v>6</v>
      </c>
      <c r="D71" s="2">
        <v>8</v>
      </c>
      <c r="E71" t="s">
        <v>14</v>
      </c>
      <c r="F71" t="s">
        <v>0</v>
      </c>
      <c r="G71" s="2">
        <v>4</v>
      </c>
      <c r="H71">
        <v>5.7964166666699998E-2</v>
      </c>
      <c r="I71">
        <v>5.7574E-2</v>
      </c>
      <c r="J71">
        <v>5040</v>
      </c>
      <c r="K71">
        <v>24310</v>
      </c>
      <c r="L71">
        <f t="shared" ref="L71:L134" si="2">I71/J71</f>
        <v>1.1423412698412698E-5</v>
      </c>
      <c r="M71" s="3">
        <f t="shared" si="1"/>
        <v>3.3655850600207635E-3</v>
      </c>
    </row>
    <row r="72" spans="2:13" x14ac:dyDescent="0.25">
      <c r="B72">
        <v>4</v>
      </c>
      <c r="C72">
        <v>6</v>
      </c>
      <c r="D72" s="2">
        <v>6</v>
      </c>
      <c r="E72" t="s">
        <v>14</v>
      </c>
      <c r="F72" t="s">
        <v>0</v>
      </c>
      <c r="G72" s="2">
        <v>6</v>
      </c>
      <c r="H72">
        <v>7.0796499999999998E-2</v>
      </c>
      <c r="I72">
        <v>7.0691000000000004E-2</v>
      </c>
      <c r="J72">
        <v>1980</v>
      </c>
      <c r="K72">
        <v>22701</v>
      </c>
      <c r="L72">
        <f t="shared" si="2"/>
        <v>3.5702525252525256E-5</v>
      </c>
      <c r="M72" s="3">
        <f t="shared" ref="M72:M135" si="3">(H72-I72)/(2*H72)</f>
        <v>7.450933308849625E-4</v>
      </c>
    </row>
    <row r="73" spans="2:13" x14ac:dyDescent="0.25">
      <c r="B73">
        <v>5</v>
      </c>
      <c r="C73">
        <v>6</v>
      </c>
      <c r="D73" s="2">
        <v>5</v>
      </c>
      <c r="E73" t="s">
        <v>14</v>
      </c>
      <c r="F73" t="s">
        <v>0</v>
      </c>
      <c r="G73" s="2">
        <v>8</v>
      </c>
      <c r="H73">
        <v>0.10044350000000001</v>
      </c>
      <c r="I73">
        <v>0.100175</v>
      </c>
      <c r="J73">
        <v>1080</v>
      </c>
      <c r="K73">
        <v>24171</v>
      </c>
      <c r="L73">
        <f t="shared" si="2"/>
        <v>9.2754629629629629E-5</v>
      </c>
      <c r="M73" s="3">
        <f t="shared" si="3"/>
        <v>1.3365723018413577E-3</v>
      </c>
    </row>
    <row r="74" spans="2:13" x14ac:dyDescent="0.25">
      <c r="B74">
        <v>1</v>
      </c>
      <c r="C74">
        <v>6</v>
      </c>
      <c r="D74" s="2">
        <v>24</v>
      </c>
      <c r="E74" t="s">
        <v>16</v>
      </c>
      <c r="F74" t="s">
        <v>13</v>
      </c>
      <c r="G74" s="2">
        <v>1</v>
      </c>
      <c r="H74">
        <v>5.8909000000000003E-2</v>
      </c>
      <c r="I74">
        <v>5.8804000000000002E-2</v>
      </c>
      <c r="J74">
        <v>155664</v>
      </c>
      <c r="K74">
        <v>27672</v>
      </c>
      <c r="L74">
        <f t="shared" si="2"/>
        <v>3.7776235995477442E-7</v>
      </c>
      <c r="M74" s="3">
        <f t="shared" si="3"/>
        <v>8.9120507902019149E-4</v>
      </c>
    </row>
    <row r="75" spans="2:13" x14ac:dyDescent="0.25">
      <c r="B75">
        <v>2</v>
      </c>
      <c r="C75">
        <v>6</v>
      </c>
      <c r="D75" s="2">
        <v>12</v>
      </c>
      <c r="E75" t="s">
        <v>16</v>
      </c>
      <c r="F75" t="s">
        <v>13</v>
      </c>
      <c r="G75" s="2">
        <v>2</v>
      </c>
      <c r="H75">
        <v>5.6505166666700003E-2</v>
      </c>
      <c r="I75">
        <v>5.6370999999999997E-2</v>
      </c>
      <c r="J75">
        <v>18216</v>
      </c>
      <c r="K75">
        <v>25967</v>
      </c>
      <c r="L75">
        <f t="shared" si="2"/>
        <v>3.0945871761089149E-6</v>
      </c>
      <c r="M75" s="3">
        <f t="shared" si="3"/>
        <v>1.1872070698543196E-3</v>
      </c>
    </row>
    <row r="76" spans="2:13" x14ac:dyDescent="0.25">
      <c r="B76">
        <v>3</v>
      </c>
      <c r="C76">
        <v>6</v>
      </c>
      <c r="D76" s="2">
        <v>8</v>
      </c>
      <c r="E76" t="s">
        <v>16</v>
      </c>
      <c r="F76" t="s">
        <v>13</v>
      </c>
      <c r="G76" s="2">
        <v>4</v>
      </c>
      <c r="H76">
        <v>9.6505499999999994E-2</v>
      </c>
      <c r="I76">
        <v>9.6141000000000004E-2</v>
      </c>
      <c r="J76">
        <v>5040</v>
      </c>
      <c r="K76">
        <v>24310</v>
      </c>
      <c r="L76">
        <f t="shared" si="2"/>
        <v>1.9075595238095239E-5</v>
      </c>
      <c r="M76" s="3">
        <f t="shared" si="3"/>
        <v>1.8884934019304073E-3</v>
      </c>
    </row>
    <row r="77" spans="2:13" x14ac:dyDescent="0.25">
      <c r="B77">
        <v>4</v>
      </c>
      <c r="C77">
        <v>6</v>
      </c>
      <c r="D77" s="2">
        <v>6</v>
      </c>
      <c r="E77" t="s">
        <v>16</v>
      </c>
      <c r="F77" t="s">
        <v>13</v>
      </c>
      <c r="G77" s="2">
        <v>6</v>
      </c>
      <c r="H77">
        <v>0.19685283333299999</v>
      </c>
      <c r="I77">
        <v>0.19653100000000001</v>
      </c>
      <c r="J77">
        <v>1980</v>
      </c>
      <c r="K77">
        <v>22701</v>
      </c>
      <c r="L77">
        <f t="shared" si="2"/>
        <v>9.9258080808080812E-5</v>
      </c>
      <c r="M77" s="3">
        <f t="shared" si="3"/>
        <v>8.1744653493394967E-4</v>
      </c>
    </row>
    <row r="78" spans="2:13" x14ac:dyDescent="0.25">
      <c r="B78">
        <v>5</v>
      </c>
      <c r="C78">
        <v>6</v>
      </c>
      <c r="D78" s="2">
        <v>5</v>
      </c>
      <c r="E78" t="s">
        <v>16</v>
      </c>
      <c r="F78" t="s">
        <v>13</v>
      </c>
      <c r="G78" s="2">
        <v>8</v>
      </c>
      <c r="H78">
        <v>0.43212600000000001</v>
      </c>
      <c r="I78">
        <v>0.43064599999999997</v>
      </c>
      <c r="J78">
        <v>1080</v>
      </c>
      <c r="K78">
        <v>24171</v>
      </c>
      <c r="L78">
        <f t="shared" si="2"/>
        <v>3.9874629629629626E-4</v>
      </c>
      <c r="M78" s="3">
        <f t="shared" si="3"/>
        <v>1.7124634944437928E-3</v>
      </c>
    </row>
    <row r="79" spans="2:13" x14ac:dyDescent="0.25">
      <c r="B79">
        <v>1</v>
      </c>
      <c r="C79">
        <v>6</v>
      </c>
      <c r="D79" s="2">
        <v>24</v>
      </c>
      <c r="E79" t="s">
        <v>16</v>
      </c>
      <c r="F79" t="s">
        <v>12</v>
      </c>
      <c r="G79" s="2">
        <v>1</v>
      </c>
      <c r="H79">
        <v>6.1999333333300002E-2</v>
      </c>
      <c r="I79">
        <v>6.1529E-2</v>
      </c>
      <c r="J79">
        <v>155664</v>
      </c>
      <c r="K79">
        <v>27672</v>
      </c>
      <c r="L79">
        <f t="shared" si="2"/>
        <v>3.9526801315654229E-7</v>
      </c>
      <c r="M79" s="3">
        <f t="shared" si="3"/>
        <v>3.7930515379218182E-3</v>
      </c>
    </row>
    <row r="80" spans="2:13" x14ac:dyDescent="0.25">
      <c r="B80">
        <v>2</v>
      </c>
      <c r="C80">
        <v>6</v>
      </c>
      <c r="D80" s="2">
        <v>12</v>
      </c>
      <c r="E80" t="s">
        <v>16</v>
      </c>
      <c r="F80" t="s">
        <v>12</v>
      </c>
      <c r="G80" s="2">
        <v>2</v>
      </c>
      <c r="H80">
        <v>8.46988333333E-2</v>
      </c>
      <c r="I80">
        <v>8.4564E-2</v>
      </c>
      <c r="J80">
        <v>18216</v>
      </c>
      <c r="K80">
        <v>25967</v>
      </c>
      <c r="L80">
        <f t="shared" si="2"/>
        <v>4.6422924901185771E-6</v>
      </c>
      <c r="M80" s="3">
        <f t="shared" si="3"/>
        <v>7.9595744116931551E-4</v>
      </c>
    </row>
    <row r="81" spans="2:13" x14ac:dyDescent="0.25">
      <c r="B81">
        <v>3</v>
      </c>
      <c r="C81">
        <v>6</v>
      </c>
      <c r="D81" s="2">
        <v>8</v>
      </c>
      <c r="E81" t="s">
        <v>16</v>
      </c>
      <c r="F81" t="s">
        <v>12</v>
      </c>
      <c r="G81" s="2">
        <v>4</v>
      </c>
      <c r="H81">
        <v>0.12288499999999999</v>
      </c>
      <c r="I81">
        <v>0.122097</v>
      </c>
      <c r="J81">
        <v>5040</v>
      </c>
      <c r="K81">
        <v>24310</v>
      </c>
      <c r="L81">
        <f t="shared" si="2"/>
        <v>2.4225595238095239E-5</v>
      </c>
      <c r="M81" s="3">
        <f t="shared" si="3"/>
        <v>3.2062497456971845E-3</v>
      </c>
    </row>
    <row r="82" spans="2:13" x14ac:dyDescent="0.25">
      <c r="B82">
        <v>4</v>
      </c>
      <c r="C82">
        <v>6</v>
      </c>
      <c r="D82" s="2">
        <v>6</v>
      </c>
      <c r="E82" t="s">
        <v>16</v>
      </c>
      <c r="F82" t="s">
        <v>12</v>
      </c>
      <c r="G82" s="2">
        <v>6</v>
      </c>
      <c r="H82">
        <v>0.2184355</v>
      </c>
      <c r="I82">
        <v>0.21784899999999999</v>
      </c>
      <c r="J82">
        <v>1980</v>
      </c>
      <c r="K82">
        <v>22701</v>
      </c>
      <c r="L82">
        <f t="shared" si="2"/>
        <v>1.1002474747474746E-4</v>
      </c>
      <c r="M82" s="3">
        <f t="shared" si="3"/>
        <v>1.3425015622461037E-3</v>
      </c>
    </row>
    <row r="83" spans="2:13" x14ac:dyDescent="0.25">
      <c r="B83">
        <v>5</v>
      </c>
      <c r="C83">
        <v>6</v>
      </c>
      <c r="D83" s="2">
        <v>5</v>
      </c>
      <c r="E83" t="s">
        <v>16</v>
      </c>
      <c r="F83" t="s">
        <v>12</v>
      </c>
      <c r="G83" s="2">
        <v>8</v>
      </c>
      <c r="H83">
        <v>0.42624766666699998</v>
      </c>
      <c r="I83">
        <v>0.42550100000000002</v>
      </c>
      <c r="J83">
        <v>1080</v>
      </c>
      <c r="K83">
        <v>24171</v>
      </c>
      <c r="L83">
        <f t="shared" si="2"/>
        <v>3.9398240740740742E-4</v>
      </c>
      <c r="M83" s="3">
        <f t="shared" si="3"/>
        <v>8.7586012240072281E-4</v>
      </c>
    </row>
    <row r="84" spans="2:13" x14ac:dyDescent="0.25">
      <c r="B84">
        <v>1</v>
      </c>
      <c r="C84">
        <v>6</v>
      </c>
      <c r="D84" s="2">
        <v>24</v>
      </c>
      <c r="E84" t="s">
        <v>16</v>
      </c>
      <c r="F84" t="s">
        <v>0</v>
      </c>
      <c r="G84" s="2">
        <v>1</v>
      </c>
      <c r="H84">
        <v>5.8978999999999997E-2</v>
      </c>
      <c r="I84">
        <v>5.8762000000000002E-2</v>
      </c>
      <c r="J84">
        <v>155664</v>
      </c>
      <c r="K84">
        <v>27672</v>
      </c>
      <c r="L84">
        <f t="shared" si="2"/>
        <v>3.7749254805221503E-7</v>
      </c>
      <c r="M84" s="3">
        <f t="shared" si="3"/>
        <v>1.8396378371962477E-3</v>
      </c>
    </row>
    <row r="85" spans="2:13" x14ac:dyDescent="0.25">
      <c r="B85">
        <v>2</v>
      </c>
      <c r="C85">
        <v>6</v>
      </c>
      <c r="D85" s="2">
        <v>12</v>
      </c>
      <c r="E85" t="s">
        <v>16</v>
      </c>
      <c r="F85" t="s">
        <v>0</v>
      </c>
      <c r="G85" s="2">
        <v>2</v>
      </c>
      <c r="H85">
        <v>1.08655E-2</v>
      </c>
      <c r="I85">
        <v>1.0827E-2</v>
      </c>
      <c r="J85">
        <v>18216</v>
      </c>
      <c r="K85">
        <v>25967</v>
      </c>
      <c r="L85">
        <f t="shared" si="2"/>
        <v>5.9436758893280629E-7</v>
      </c>
      <c r="M85" s="3">
        <f t="shared" si="3"/>
        <v>1.7716626018130937E-3</v>
      </c>
    </row>
    <row r="86" spans="2:13" x14ac:dyDescent="0.25">
      <c r="B86">
        <v>3</v>
      </c>
      <c r="C86">
        <v>6</v>
      </c>
      <c r="D86" s="2">
        <v>8</v>
      </c>
      <c r="E86" t="s">
        <v>16</v>
      </c>
      <c r="F86" t="s">
        <v>0</v>
      </c>
      <c r="G86" s="2">
        <v>4</v>
      </c>
      <c r="H86">
        <v>7.1596666666699999E-3</v>
      </c>
      <c r="I86">
        <v>7.1079999999999997E-3</v>
      </c>
      <c r="J86">
        <v>5040</v>
      </c>
      <c r="K86">
        <v>24310</v>
      </c>
      <c r="L86">
        <f t="shared" si="2"/>
        <v>1.4103174603174602E-6</v>
      </c>
      <c r="M86" s="3">
        <f t="shared" si="3"/>
        <v>3.6081754273925293E-3</v>
      </c>
    </row>
    <row r="87" spans="2:13" x14ac:dyDescent="0.25">
      <c r="B87">
        <v>4</v>
      </c>
      <c r="C87">
        <v>6</v>
      </c>
      <c r="D87" s="2">
        <v>6</v>
      </c>
      <c r="E87" t="s">
        <v>16</v>
      </c>
      <c r="F87" t="s">
        <v>0</v>
      </c>
      <c r="G87" s="2">
        <v>6</v>
      </c>
      <c r="H87">
        <v>6.6334999999999996E-3</v>
      </c>
      <c r="I87">
        <v>6.6080000000000002E-3</v>
      </c>
      <c r="J87">
        <v>1980</v>
      </c>
      <c r="K87">
        <v>22701</v>
      </c>
      <c r="L87">
        <f t="shared" si="2"/>
        <v>3.3373737373737375E-6</v>
      </c>
      <c r="M87" s="3">
        <f t="shared" si="3"/>
        <v>1.9220622597421785E-3</v>
      </c>
    </row>
    <row r="88" spans="2:13" x14ac:dyDescent="0.25">
      <c r="B88">
        <v>5</v>
      </c>
      <c r="C88">
        <v>6</v>
      </c>
      <c r="D88" s="2">
        <v>5</v>
      </c>
      <c r="E88" t="s">
        <v>16</v>
      </c>
      <c r="F88" t="s">
        <v>0</v>
      </c>
      <c r="G88" s="2">
        <v>8</v>
      </c>
      <c r="H88">
        <v>8.7308333333299994E-3</v>
      </c>
      <c r="I88">
        <v>8.6759999999999997E-3</v>
      </c>
      <c r="J88">
        <v>1080</v>
      </c>
      <c r="K88">
        <v>24171</v>
      </c>
      <c r="L88">
        <f t="shared" si="2"/>
        <v>8.0333333333333332E-6</v>
      </c>
      <c r="M88" s="3">
        <f t="shared" si="3"/>
        <v>3.1402118925276672E-3</v>
      </c>
    </row>
    <row r="89" spans="2:13" x14ac:dyDescent="0.25">
      <c r="B89">
        <v>1</v>
      </c>
      <c r="C89">
        <v>6</v>
      </c>
      <c r="D89" s="2">
        <v>24</v>
      </c>
      <c r="E89" t="s">
        <v>19</v>
      </c>
      <c r="F89" t="s">
        <v>13</v>
      </c>
      <c r="G89" s="2">
        <v>1</v>
      </c>
      <c r="H89">
        <v>5.8868666666700001E-2</v>
      </c>
      <c r="I89">
        <v>5.8741000000000002E-2</v>
      </c>
      <c r="J89">
        <v>155664</v>
      </c>
      <c r="K89">
        <v>27672</v>
      </c>
      <c r="L89">
        <f t="shared" si="2"/>
        <v>3.7735764210093537E-7</v>
      </c>
      <c r="M89" s="3">
        <f t="shared" si="3"/>
        <v>1.0843346208503134E-3</v>
      </c>
    </row>
    <row r="90" spans="2:13" x14ac:dyDescent="0.25">
      <c r="B90">
        <v>2</v>
      </c>
      <c r="C90">
        <v>6</v>
      </c>
      <c r="D90" s="2">
        <v>12</v>
      </c>
      <c r="E90" t="s">
        <v>19</v>
      </c>
      <c r="F90" t="s">
        <v>13</v>
      </c>
      <c r="G90" s="2">
        <v>2</v>
      </c>
      <c r="H90">
        <v>5.6807499999999997E-2</v>
      </c>
      <c r="I90">
        <v>5.6652000000000001E-2</v>
      </c>
      <c r="J90">
        <v>18216</v>
      </c>
      <c r="K90">
        <v>25967</v>
      </c>
      <c r="L90">
        <f t="shared" si="2"/>
        <v>3.1100131752305665E-6</v>
      </c>
      <c r="M90" s="3">
        <f t="shared" si="3"/>
        <v>1.368657307573788E-3</v>
      </c>
    </row>
    <row r="91" spans="2:13" x14ac:dyDescent="0.25">
      <c r="B91">
        <v>3</v>
      </c>
      <c r="C91">
        <v>6</v>
      </c>
      <c r="D91" s="2">
        <v>8</v>
      </c>
      <c r="E91" t="s">
        <v>19</v>
      </c>
      <c r="F91" t="s">
        <v>13</v>
      </c>
      <c r="G91" s="2">
        <v>4</v>
      </c>
      <c r="H91">
        <v>9.6610166666699998E-2</v>
      </c>
      <c r="I91">
        <v>9.6019999999999994E-2</v>
      </c>
      <c r="J91">
        <v>5040</v>
      </c>
      <c r="K91">
        <v>24310</v>
      </c>
      <c r="L91">
        <f t="shared" si="2"/>
        <v>1.9051587301587301E-5</v>
      </c>
      <c r="M91" s="3">
        <f t="shared" si="3"/>
        <v>3.0543714345098267E-3</v>
      </c>
    </row>
    <row r="92" spans="2:13" x14ac:dyDescent="0.25">
      <c r="B92">
        <v>4</v>
      </c>
      <c r="C92">
        <v>6</v>
      </c>
      <c r="D92" s="2">
        <v>6</v>
      </c>
      <c r="E92" t="s">
        <v>19</v>
      </c>
      <c r="F92" t="s">
        <v>13</v>
      </c>
      <c r="G92" s="2">
        <v>6</v>
      </c>
      <c r="H92">
        <v>0.196683166667</v>
      </c>
      <c r="I92">
        <v>0.19630500000000001</v>
      </c>
      <c r="J92">
        <v>1980</v>
      </c>
      <c r="K92">
        <v>22701</v>
      </c>
      <c r="L92">
        <f t="shared" si="2"/>
        <v>9.9143939393939396E-5</v>
      </c>
      <c r="M92" s="3">
        <f t="shared" si="3"/>
        <v>9.6136002233546982E-4</v>
      </c>
    </row>
    <row r="93" spans="2:13" x14ac:dyDescent="0.25">
      <c r="B93">
        <v>5</v>
      </c>
      <c r="C93">
        <v>6</v>
      </c>
      <c r="D93" s="2">
        <v>5</v>
      </c>
      <c r="E93" t="s">
        <v>19</v>
      </c>
      <c r="F93" t="s">
        <v>13</v>
      </c>
      <c r="G93" s="2">
        <v>8</v>
      </c>
      <c r="H93">
        <v>0.43140883333300001</v>
      </c>
      <c r="I93">
        <v>0.43073</v>
      </c>
      <c r="J93">
        <v>1080</v>
      </c>
      <c r="K93">
        <v>24171</v>
      </c>
      <c r="L93">
        <f t="shared" si="2"/>
        <v>3.9882407407407407E-4</v>
      </c>
      <c r="M93" s="3">
        <f t="shared" si="3"/>
        <v>7.8676336754099547E-4</v>
      </c>
    </row>
    <row r="94" spans="2:13" x14ac:dyDescent="0.25">
      <c r="B94">
        <v>1</v>
      </c>
      <c r="C94">
        <v>6</v>
      </c>
      <c r="D94" s="2">
        <v>24</v>
      </c>
      <c r="E94" t="s">
        <v>19</v>
      </c>
      <c r="F94" t="s">
        <v>12</v>
      </c>
      <c r="G94" s="2">
        <v>1</v>
      </c>
      <c r="H94">
        <v>5.8905166666700003E-2</v>
      </c>
      <c r="I94">
        <v>5.8837E-2</v>
      </c>
      <c r="J94">
        <v>155664</v>
      </c>
      <c r="K94">
        <v>27672</v>
      </c>
      <c r="L94">
        <f t="shared" si="2"/>
        <v>3.7797435502107101E-7</v>
      </c>
      <c r="M94" s="3">
        <f t="shared" si="3"/>
        <v>5.7861364764237122E-4</v>
      </c>
    </row>
    <row r="95" spans="2:13" x14ac:dyDescent="0.25">
      <c r="B95">
        <v>2</v>
      </c>
      <c r="C95">
        <v>6</v>
      </c>
      <c r="D95" s="2">
        <v>12</v>
      </c>
      <c r="E95" t="s">
        <v>19</v>
      </c>
      <c r="F95" t="s">
        <v>12</v>
      </c>
      <c r="G95" s="2">
        <v>2</v>
      </c>
      <c r="H95">
        <v>8.4964333333300002E-2</v>
      </c>
      <c r="I95">
        <v>8.4802000000000002E-2</v>
      </c>
      <c r="J95">
        <v>18216</v>
      </c>
      <c r="K95">
        <v>25967</v>
      </c>
      <c r="L95">
        <f t="shared" si="2"/>
        <v>4.655357927097058E-6</v>
      </c>
      <c r="M95" s="3">
        <f t="shared" si="3"/>
        <v>9.5530281314157122E-4</v>
      </c>
    </row>
    <row r="96" spans="2:13" x14ac:dyDescent="0.25">
      <c r="B96">
        <v>3</v>
      </c>
      <c r="C96">
        <v>6</v>
      </c>
      <c r="D96" s="2">
        <v>8</v>
      </c>
      <c r="E96" t="s">
        <v>19</v>
      </c>
      <c r="F96" t="s">
        <v>12</v>
      </c>
      <c r="G96" s="2">
        <v>4</v>
      </c>
      <c r="H96">
        <v>0.1229155</v>
      </c>
      <c r="I96">
        <v>0.122475</v>
      </c>
      <c r="J96">
        <v>5040</v>
      </c>
      <c r="K96">
        <v>24310</v>
      </c>
      <c r="L96">
        <f t="shared" si="2"/>
        <v>2.4300595238095238E-5</v>
      </c>
      <c r="M96" s="3">
        <f t="shared" si="3"/>
        <v>1.7918814144676483E-3</v>
      </c>
    </row>
    <row r="97" spans="2:13" x14ac:dyDescent="0.25">
      <c r="B97">
        <v>4</v>
      </c>
      <c r="C97">
        <v>6</v>
      </c>
      <c r="D97" s="2">
        <v>6</v>
      </c>
      <c r="E97" t="s">
        <v>19</v>
      </c>
      <c r="F97" t="s">
        <v>12</v>
      </c>
      <c r="G97" s="2">
        <v>6</v>
      </c>
      <c r="H97">
        <v>0.21855666666699999</v>
      </c>
      <c r="I97">
        <v>0.21764500000000001</v>
      </c>
      <c r="J97">
        <v>1980</v>
      </c>
      <c r="K97">
        <v>22701</v>
      </c>
      <c r="L97">
        <f t="shared" si="2"/>
        <v>1.0992171717171717E-4</v>
      </c>
      <c r="M97" s="3">
        <f t="shared" si="3"/>
        <v>2.0856528444154789E-3</v>
      </c>
    </row>
    <row r="98" spans="2:13" x14ac:dyDescent="0.25">
      <c r="B98">
        <v>5</v>
      </c>
      <c r="C98">
        <v>6</v>
      </c>
      <c r="D98" s="2">
        <v>5</v>
      </c>
      <c r="E98" t="s">
        <v>19</v>
      </c>
      <c r="F98" t="s">
        <v>12</v>
      </c>
      <c r="G98" s="2">
        <v>8</v>
      </c>
      <c r="H98">
        <v>0.42658400000000002</v>
      </c>
      <c r="I98">
        <v>0.42485299999999998</v>
      </c>
      <c r="J98">
        <v>1080</v>
      </c>
      <c r="K98">
        <v>24171</v>
      </c>
      <c r="L98">
        <f t="shared" si="2"/>
        <v>3.9338240740740741E-4</v>
      </c>
      <c r="M98" s="3">
        <f t="shared" si="3"/>
        <v>2.0289087260657195E-3</v>
      </c>
    </row>
    <row r="99" spans="2:13" x14ac:dyDescent="0.25">
      <c r="B99">
        <v>1</v>
      </c>
      <c r="C99">
        <v>6</v>
      </c>
      <c r="D99" s="2">
        <v>72</v>
      </c>
      <c r="E99" t="s">
        <v>17</v>
      </c>
      <c r="F99" t="s">
        <v>13</v>
      </c>
      <c r="G99" s="2">
        <v>1</v>
      </c>
      <c r="H99">
        <v>2.2290166666700001E-2</v>
      </c>
      <c r="I99">
        <v>2.2193999999999998E-2</v>
      </c>
      <c r="J99">
        <v>41472</v>
      </c>
      <c r="K99">
        <v>21025</v>
      </c>
      <c r="L99">
        <f t="shared" si="2"/>
        <v>5.3515624999999998E-7</v>
      </c>
      <c r="M99" s="3">
        <f t="shared" si="3"/>
        <v>2.1571545008604387E-3</v>
      </c>
    </row>
    <row r="100" spans="2:13" x14ac:dyDescent="0.25">
      <c r="B100">
        <v>1</v>
      </c>
      <c r="C100">
        <v>6</v>
      </c>
      <c r="D100" s="2">
        <v>24</v>
      </c>
      <c r="E100" t="s">
        <v>19</v>
      </c>
      <c r="F100" t="s">
        <v>0</v>
      </c>
      <c r="G100" s="2">
        <v>1</v>
      </c>
      <c r="H100">
        <v>5.9047000000000002E-2</v>
      </c>
      <c r="I100">
        <v>5.8950000000000002E-2</v>
      </c>
      <c r="J100">
        <v>155664</v>
      </c>
      <c r="K100">
        <v>27672</v>
      </c>
      <c r="L100">
        <f t="shared" si="2"/>
        <v>3.7870027752081406E-7</v>
      </c>
      <c r="M100" s="3">
        <f t="shared" si="3"/>
        <v>8.2137957897945586E-4</v>
      </c>
    </row>
    <row r="101" spans="2:13" x14ac:dyDescent="0.25">
      <c r="B101">
        <v>2</v>
      </c>
      <c r="C101">
        <v>6</v>
      </c>
      <c r="D101" s="2">
        <v>12</v>
      </c>
      <c r="E101" t="s">
        <v>19</v>
      </c>
      <c r="F101" t="s">
        <v>0</v>
      </c>
      <c r="G101" s="2">
        <v>2</v>
      </c>
      <c r="H101">
        <v>1.07683333333E-2</v>
      </c>
      <c r="I101">
        <v>1.069E-2</v>
      </c>
      <c r="J101">
        <v>18216</v>
      </c>
      <c r="K101">
        <v>25967</v>
      </c>
      <c r="L101">
        <f t="shared" si="2"/>
        <v>5.8684672815107598E-7</v>
      </c>
      <c r="M101" s="3">
        <f t="shared" si="3"/>
        <v>3.6372078610235011E-3</v>
      </c>
    </row>
    <row r="102" spans="2:13" x14ac:dyDescent="0.25">
      <c r="B102">
        <v>3</v>
      </c>
      <c r="C102">
        <v>6</v>
      </c>
      <c r="D102" s="2">
        <v>8</v>
      </c>
      <c r="E102" t="s">
        <v>19</v>
      </c>
      <c r="F102" t="s">
        <v>0</v>
      </c>
      <c r="G102" s="2">
        <v>4</v>
      </c>
      <c r="H102">
        <v>7.3241666666699996E-3</v>
      </c>
      <c r="I102">
        <v>7.2859999999999999E-3</v>
      </c>
      <c r="J102">
        <v>5040</v>
      </c>
      <c r="K102">
        <v>24310</v>
      </c>
      <c r="L102">
        <f t="shared" si="2"/>
        <v>1.4456349206349207E-6</v>
      </c>
      <c r="M102" s="3">
        <f t="shared" si="3"/>
        <v>2.6055296395482274E-3</v>
      </c>
    </row>
    <row r="103" spans="2:13" x14ac:dyDescent="0.25">
      <c r="B103">
        <v>4</v>
      </c>
      <c r="C103">
        <v>6</v>
      </c>
      <c r="D103" s="2">
        <v>6</v>
      </c>
      <c r="E103" t="s">
        <v>19</v>
      </c>
      <c r="F103" t="s">
        <v>0</v>
      </c>
      <c r="G103" s="2">
        <v>6</v>
      </c>
      <c r="H103">
        <v>6.7371666666699997E-3</v>
      </c>
      <c r="I103">
        <v>6.6800000000000002E-3</v>
      </c>
      <c r="J103">
        <v>1980</v>
      </c>
      <c r="K103">
        <v>22701</v>
      </c>
      <c r="L103">
        <f t="shared" si="2"/>
        <v>3.3737373737373739E-6</v>
      </c>
      <c r="M103" s="3">
        <f t="shared" si="3"/>
        <v>4.2426341441732154E-3</v>
      </c>
    </row>
    <row r="104" spans="2:13" x14ac:dyDescent="0.25">
      <c r="B104">
        <v>5</v>
      </c>
      <c r="C104">
        <v>6</v>
      </c>
      <c r="D104" s="2">
        <v>5</v>
      </c>
      <c r="E104" t="s">
        <v>19</v>
      </c>
      <c r="F104" t="s">
        <v>0</v>
      </c>
      <c r="G104" s="2">
        <v>8</v>
      </c>
      <c r="H104">
        <v>8.7434999999999995E-3</v>
      </c>
      <c r="I104">
        <v>8.6969999999999999E-3</v>
      </c>
      <c r="J104">
        <v>1080</v>
      </c>
      <c r="K104">
        <v>24171</v>
      </c>
      <c r="L104">
        <f t="shared" si="2"/>
        <v>8.0527777777777774E-6</v>
      </c>
      <c r="M104" s="3">
        <f t="shared" si="3"/>
        <v>2.6591182020929646E-3</v>
      </c>
    </row>
    <row r="105" spans="2:13" x14ac:dyDescent="0.25">
      <c r="B105">
        <v>2</v>
      </c>
      <c r="C105">
        <v>6</v>
      </c>
      <c r="D105" s="2">
        <v>36</v>
      </c>
      <c r="E105" t="s">
        <v>17</v>
      </c>
      <c r="F105" t="s">
        <v>13</v>
      </c>
      <c r="G105" s="2">
        <v>2</v>
      </c>
      <c r="H105">
        <v>1.9789500000000002E-2</v>
      </c>
      <c r="I105">
        <v>1.9723999999999998E-2</v>
      </c>
      <c r="J105">
        <v>10368</v>
      </c>
      <c r="K105">
        <v>21025</v>
      </c>
      <c r="L105">
        <f t="shared" si="2"/>
        <v>1.9023919753086419E-6</v>
      </c>
      <c r="M105" s="3">
        <f t="shared" si="3"/>
        <v>1.6549180120771887E-3</v>
      </c>
    </row>
    <row r="106" spans="2:13" x14ac:dyDescent="0.25">
      <c r="B106">
        <v>3</v>
      </c>
      <c r="C106">
        <v>6</v>
      </c>
      <c r="D106" s="2">
        <v>25</v>
      </c>
      <c r="E106" t="s">
        <v>17</v>
      </c>
      <c r="F106" t="s">
        <v>13</v>
      </c>
      <c r="G106" s="2">
        <v>4</v>
      </c>
      <c r="H106">
        <v>3.7862833333299997E-2</v>
      </c>
      <c r="I106">
        <v>3.7733000000000003E-2</v>
      </c>
      <c r="J106">
        <v>5000</v>
      </c>
      <c r="K106">
        <v>22801</v>
      </c>
      <c r="L106">
        <f t="shared" si="2"/>
        <v>7.5466000000000007E-6</v>
      </c>
      <c r="M106" s="3">
        <f t="shared" si="3"/>
        <v>1.7145221562936683E-3</v>
      </c>
    </row>
    <row r="107" spans="2:13" x14ac:dyDescent="0.25">
      <c r="B107">
        <v>4</v>
      </c>
      <c r="C107">
        <v>6</v>
      </c>
      <c r="D107" s="2">
        <v>18</v>
      </c>
      <c r="E107" t="s">
        <v>17</v>
      </c>
      <c r="F107" t="s">
        <v>13</v>
      </c>
      <c r="G107" s="2">
        <v>6</v>
      </c>
      <c r="H107">
        <v>7.3799333333299993E-2</v>
      </c>
      <c r="I107">
        <v>7.3539999999999994E-2</v>
      </c>
      <c r="J107">
        <v>2592</v>
      </c>
      <c r="K107">
        <v>21025</v>
      </c>
      <c r="L107">
        <f t="shared" si="2"/>
        <v>2.8371913580246911E-5</v>
      </c>
      <c r="M107" s="3">
        <f t="shared" si="3"/>
        <v>1.7570167749942391E-3</v>
      </c>
    </row>
    <row r="108" spans="2:13" x14ac:dyDescent="0.25">
      <c r="B108">
        <v>5</v>
      </c>
      <c r="C108">
        <v>6</v>
      </c>
      <c r="D108" s="2">
        <v>15</v>
      </c>
      <c r="E108" t="s">
        <v>17</v>
      </c>
      <c r="F108" t="s">
        <v>13</v>
      </c>
      <c r="G108" s="2">
        <v>8</v>
      </c>
      <c r="H108">
        <v>0.124324666667</v>
      </c>
      <c r="I108">
        <v>0.124099</v>
      </c>
      <c r="J108">
        <v>1800</v>
      </c>
      <c r="K108">
        <v>22801</v>
      </c>
      <c r="L108">
        <f t="shared" si="2"/>
        <v>6.8943888888888894E-5</v>
      </c>
      <c r="M108" s="3">
        <f t="shared" si="3"/>
        <v>9.0756996600054388E-4</v>
      </c>
    </row>
    <row r="109" spans="2:13" x14ac:dyDescent="0.25">
      <c r="B109">
        <v>1</v>
      </c>
      <c r="C109">
        <v>6</v>
      </c>
      <c r="D109" s="2">
        <v>72</v>
      </c>
      <c r="E109" t="s">
        <v>17</v>
      </c>
      <c r="F109" t="s">
        <v>12</v>
      </c>
      <c r="G109" s="2">
        <v>1</v>
      </c>
      <c r="H109">
        <v>2.2360499999999998E-2</v>
      </c>
      <c r="I109">
        <v>2.2162000000000001E-2</v>
      </c>
      <c r="J109">
        <v>41472</v>
      </c>
      <c r="K109">
        <v>21025</v>
      </c>
      <c r="L109">
        <f t="shared" si="2"/>
        <v>5.3438464506172839E-7</v>
      </c>
      <c r="M109" s="3">
        <f t="shared" si="3"/>
        <v>4.4386306209610099E-3</v>
      </c>
    </row>
    <row r="110" spans="2:13" x14ac:dyDescent="0.25">
      <c r="B110">
        <v>2</v>
      </c>
      <c r="C110">
        <v>6</v>
      </c>
      <c r="D110" s="2">
        <v>36</v>
      </c>
      <c r="E110" t="s">
        <v>17</v>
      </c>
      <c r="F110" t="s">
        <v>12</v>
      </c>
      <c r="G110" s="2">
        <v>2</v>
      </c>
      <c r="H110">
        <v>3.0523000000000002E-2</v>
      </c>
      <c r="I110">
        <v>2.9562999999999999E-2</v>
      </c>
      <c r="J110">
        <v>10368</v>
      </c>
      <c r="K110">
        <v>21025</v>
      </c>
      <c r="L110">
        <f t="shared" si="2"/>
        <v>2.8513695987654319E-6</v>
      </c>
      <c r="M110" s="3">
        <f t="shared" si="3"/>
        <v>1.5725846083281501E-2</v>
      </c>
    </row>
    <row r="111" spans="2:13" x14ac:dyDescent="0.25">
      <c r="B111">
        <v>3</v>
      </c>
      <c r="C111">
        <v>6</v>
      </c>
      <c r="D111" s="2">
        <v>25</v>
      </c>
      <c r="E111" t="s">
        <v>17</v>
      </c>
      <c r="F111" t="s">
        <v>12</v>
      </c>
      <c r="G111" s="2">
        <v>4</v>
      </c>
      <c r="H111">
        <v>5.2187166666700001E-2</v>
      </c>
      <c r="I111">
        <v>5.1698000000000001E-2</v>
      </c>
      <c r="J111">
        <v>5000</v>
      </c>
      <c r="K111">
        <v>22801</v>
      </c>
      <c r="L111">
        <f t="shared" si="2"/>
        <v>1.03396E-5</v>
      </c>
      <c r="M111" s="3">
        <f t="shared" si="3"/>
        <v>4.6866566815566488E-3</v>
      </c>
    </row>
    <row r="112" spans="2:13" x14ac:dyDescent="0.25">
      <c r="B112">
        <v>4</v>
      </c>
      <c r="C112">
        <v>6</v>
      </c>
      <c r="D112" s="2">
        <v>18</v>
      </c>
      <c r="E112" t="s">
        <v>17</v>
      </c>
      <c r="F112" t="s">
        <v>12</v>
      </c>
      <c r="G112" s="2">
        <v>6</v>
      </c>
      <c r="H112">
        <v>8.9205833333299997E-2</v>
      </c>
      <c r="I112">
        <v>8.8697999999999999E-2</v>
      </c>
      <c r="J112">
        <v>2592</v>
      </c>
      <c r="K112">
        <v>21025</v>
      </c>
      <c r="L112">
        <f t="shared" si="2"/>
        <v>3.4219907407407404E-5</v>
      </c>
      <c r="M112" s="3">
        <f t="shared" si="3"/>
        <v>2.846413257542132E-3</v>
      </c>
    </row>
    <row r="113" spans="2:13" x14ac:dyDescent="0.25">
      <c r="B113">
        <v>5</v>
      </c>
      <c r="C113">
        <v>6</v>
      </c>
      <c r="D113" s="2">
        <v>15</v>
      </c>
      <c r="E113" t="s">
        <v>17</v>
      </c>
      <c r="F113" t="s">
        <v>12</v>
      </c>
      <c r="G113" s="2">
        <v>8</v>
      </c>
      <c r="H113">
        <v>0.14326749999999999</v>
      </c>
      <c r="I113">
        <v>0.142037</v>
      </c>
      <c r="J113">
        <v>1800</v>
      </c>
      <c r="K113">
        <v>22801</v>
      </c>
      <c r="L113">
        <f t="shared" si="2"/>
        <v>7.8909444444444436E-5</v>
      </c>
      <c r="M113" s="3">
        <f t="shared" si="3"/>
        <v>4.2944142949377755E-3</v>
      </c>
    </row>
    <row r="114" spans="2:13" x14ac:dyDescent="0.25">
      <c r="B114">
        <v>1</v>
      </c>
      <c r="C114">
        <v>6</v>
      </c>
      <c r="D114" s="2">
        <v>72</v>
      </c>
      <c r="E114" t="s">
        <v>17</v>
      </c>
      <c r="F114" t="s">
        <v>0</v>
      </c>
      <c r="G114" s="2">
        <v>1</v>
      </c>
      <c r="H114">
        <v>2.22298333333E-2</v>
      </c>
      <c r="I114">
        <v>2.2053E-2</v>
      </c>
      <c r="J114">
        <v>41472</v>
      </c>
      <c r="K114">
        <v>21025</v>
      </c>
      <c r="L114">
        <f t="shared" si="2"/>
        <v>5.3175636574074073E-7</v>
      </c>
      <c r="M114" s="3">
        <f t="shared" si="3"/>
        <v>3.9773877439536606E-3</v>
      </c>
    </row>
    <row r="115" spans="2:13" x14ac:dyDescent="0.25">
      <c r="B115">
        <v>2</v>
      </c>
      <c r="C115">
        <v>6</v>
      </c>
      <c r="D115" s="2">
        <v>36</v>
      </c>
      <c r="E115" t="s">
        <v>17</v>
      </c>
      <c r="F115" t="s">
        <v>0</v>
      </c>
      <c r="G115" s="2">
        <v>2</v>
      </c>
      <c r="H115">
        <v>6.9020000000000001E-3</v>
      </c>
      <c r="I115">
        <v>6.8389999999999996E-3</v>
      </c>
      <c r="J115">
        <v>10368</v>
      </c>
      <c r="K115">
        <v>21025</v>
      </c>
      <c r="L115">
        <f t="shared" si="2"/>
        <v>6.5962577160493822E-7</v>
      </c>
      <c r="M115" s="3">
        <f t="shared" si="3"/>
        <v>4.5638945233266118E-3</v>
      </c>
    </row>
    <row r="116" spans="2:13" x14ac:dyDescent="0.25">
      <c r="B116">
        <v>3</v>
      </c>
      <c r="C116">
        <v>6</v>
      </c>
      <c r="D116" s="2">
        <v>25</v>
      </c>
      <c r="E116" t="s">
        <v>17</v>
      </c>
      <c r="F116" t="s">
        <v>0</v>
      </c>
      <c r="G116" s="2">
        <v>4</v>
      </c>
      <c r="H116">
        <v>7.293E-3</v>
      </c>
      <c r="I116">
        <v>7.26E-3</v>
      </c>
      <c r="J116">
        <v>5000</v>
      </c>
      <c r="K116">
        <v>22801</v>
      </c>
      <c r="L116">
        <f t="shared" si="2"/>
        <v>1.452E-6</v>
      </c>
      <c r="M116" s="3">
        <f t="shared" si="3"/>
        <v>2.26244343891403E-3</v>
      </c>
    </row>
    <row r="117" spans="2:13" x14ac:dyDescent="0.25">
      <c r="B117">
        <v>4</v>
      </c>
      <c r="C117">
        <v>6</v>
      </c>
      <c r="D117" s="2">
        <v>18</v>
      </c>
      <c r="E117" t="s">
        <v>17</v>
      </c>
      <c r="F117" t="s">
        <v>0</v>
      </c>
      <c r="G117" s="2">
        <v>6</v>
      </c>
      <c r="H117">
        <v>7.3223333333300002E-3</v>
      </c>
      <c r="I117">
        <v>7.2740000000000001E-3</v>
      </c>
      <c r="J117">
        <v>2592</v>
      </c>
      <c r="K117">
        <v>21025</v>
      </c>
      <c r="L117">
        <f t="shared" si="2"/>
        <v>2.8063271604938274E-6</v>
      </c>
      <c r="M117" s="3">
        <f t="shared" si="3"/>
        <v>3.3004051529582183E-3</v>
      </c>
    </row>
    <row r="118" spans="2:13" x14ac:dyDescent="0.25">
      <c r="B118">
        <v>5</v>
      </c>
      <c r="C118">
        <v>6</v>
      </c>
      <c r="D118" s="2">
        <v>15</v>
      </c>
      <c r="E118" t="s">
        <v>17</v>
      </c>
      <c r="F118" t="s">
        <v>0</v>
      </c>
      <c r="G118" s="2">
        <v>8</v>
      </c>
      <c r="H118">
        <v>9.9663333333299998E-3</v>
      </c>
      <c r="I118">
        <v>9.9229999999999995E-3</v>
      </c>
      <c r="J118">
        <v>1800</v>
      </c>
      <c r="K118">
        <v>22801</v>
      </c>
      <c r="M118" s="3">
        <f t="shared" si="3"/>
        <v>2.1739857518653541E-3</v>
      </c>
    </row>
    <row r="119" spans="2:13" x14ac:dyDescent="0.25">
      <c r="B119">
        <v>1</v>
      </c>
      <c r="C119">
        <v>6</v>
      </c>
      <c r="D119" s="2">
        <v>72</v>
      </c>
      <c r="E119" t="s">
        <v>15</v>
      </c>
      <c r="F119" t="s">
        <v>13</v>
      </c>
      <c r="G119" s="2">
        <v>1</v>
      </c>
      <c r="H119">
        <v>1.51233333333E-2</v>
      </c>
      <c r="I119">
        <v>1.5091E-2</v>
      </c>
      <c r="J119">
        <v>41472</v>
      </c>
      <c r="K119">
        <v>21025</v>
      </c>
      <c r="M119" s="3">
        <f t="shared" si="3"/>
        <v>1.0689883171722731E-3</v>
      </c>
    </row>
    <row r="120" spans="2:13" x14ac:dyDescent="0.25">
      <c r="B120">
        <v>2</v>
      </c>
      <c r="C120">
        <v>6</v>
      </c>
      <c r="D120" s="2">
        <v>36</v>
      </c>
      <c r="E120" t="s">
        <v>15</v>
      </c>
      <c r="F120" t="s">
        <v>13</v>
      </c>
      <c r="G120" s="2">
        <v>2</v>
      </c>
      <c r="H120">
        <v>1.1790333333300001E-2</v>
      </c>
      <c r="I120">
        <v>1.1767E-2</v>
      </c>
      <c r="J120">
        <v>10368</v>
      </c>
      <c r="K120">
        <v>21025</v>
      </c>
      <c r="M120" s="3">
        <f t="shared" si="3"/>
        <v>9.8951118006559589E-4</v>
      </c>
    </row>
    <row r="121" spans="2:13" x14ac:dyDescent="0.25">
      <c r="B121">
        <v>3</v>
      </c>
      <c r="C121">
        <v>6</v>
      </c>
      <c r="D121" s="2">
        <v>25</v>
      </c>
      <c r="E121" t="s">
        <v>15</v>
      </c>
      <c r="F121" t="s">
        <v>13</v>
      </c>
      <c r="G121" s="2">
        <v>4</v>
      </c>
      <c r="H121">
        <v>2.06965E-2</v>
      </c>
      <c r="I121">
        <v>2.0666E-2</v>
      </c>
      <c r="J121">
        <v>5000</v>
      </c>
      <c r="K121">
        <v>22801</v>
      </c>
      <c r="M121" s="3">
        <f t="shared" si="3"/>
        <v>7.3683956224480658E-4</v>
      </c>
    </row>
    <row r="122" spans="2:13" x14ac:dyDescent="0.25">
      <c r="B122">
        <v>4</v>
      </c>
      <c r="C122">
        <v>6</v>
      </c>
      <c r="D122" s="2">
        <v>18</v>
      </c>
      <c r="E122" t="s">
        <v>15</v>
      </c>
      <c r="F122" t="s">
        <v>13</v>
      </c>
      <c r="G122" s="2">
        <v>6</v>
      </c>
      <c r="H122">
        <v>3.9522333333299998E-2</v>
      </c>
      <c r="I122">
        <v>3.9413999999999998E-2</v>
      </c>
      <c r="J122">
        <v>2592</v>
      </c>
      <c r="K122">
        <v>21025</v>
      </c>
      <c r="M122" s="3">
        <f t="shared" si="3"/>
        <v>1.3705331158765787E-3</v>
      </c>
    </row>
    <row r="123" spans="2:13" x14ac:dyDescent="0.25">
      <c r="B123">
        <v>5</v>
      </c>
      <c r="C123">
        <v>6</v>
      </c>
      <c r="D123" s="2">
        <v>15</v>
      </c>
      <c r="E123" t="s">
        <v>15</v>
      </c>
      <c r="F123" t="s">
        <v>13</v>
      </c>
      <c r="G123" s="2">
        <v>8</v>
      </c>
      <c r="H123">
        <v>6.1613166666699998E-2</v>
      </c>
      <c r="I123">
        <v>6.1543E-2</v>
      </c>
      <c r="J123">
        <v>1800</v>
      </c>
      <c r="K123">
        <v>22801</v>
      </c>
      <c r="M123" s="3">
        <f t="shared" si="3"/>
        <v>5.6941292337373223E-4</v>
      </c>
    </row>
    <row r="124" spans="2:13" x14ac:dyDescent="0.25">
      <c r="B124">
        <v>1</v>
      </c>
      <c r="C124">
        <v>6</v>
      </c>
      <c r="D124" s="2">
        <v>72</v>
      </c>
      <c r="E124" t="s">
        <v>15</v>
      </c>
      <c r="F124" t="s">
        <v>12</v>
      </c>
      <c r="G124" s="2">
        <v>1</v>
      </c>
      <c r="H124">
        <v>1.54893333333E-2</v>
      </c>
      <c r="I124">
        <v>1.541E-2</v>
      </c>
      <c r="J124">
        <v>41472</v>
      </c>
      <c r="K124">
        <v>21025</v>
      </c>
      <c r="M124" s="3">
        <f t="shared" si="3"/>
        <v>2.5609021251238586E-3</v>
      </c>
    </row>
    <row r="125" spans="2:13" x14ac:dyDescent="0.25">
      <c r="B125">
        <v>2</v>
      </c>
      <c r="C125">
        <v>6</v>
      </c>
      <c r="D125" s="2">
        <v>36</v>
      </c>
      <c r="E125" t="s">
        <v>15</v>
      </c>
      <c r="F125" t="s">
        <v>12</v>
      </c>
      <c r="G125" s="2">
        <v>2</v>
      </c>
      <c r="H125">
        <v>2.3952166666700001E-2</v>
      </c>
      <c r="I125">
        <v>2.3778000000000001E-2</v>
      </c>
      <c r="J125">
        <v>10368</v>
      </c>
      <c r="K125">
        <v>21025</v>
      </c>
      <c r="M125" s="3">
        <f t="shared" si="3"/>
        <v>3.635718411690486E-3</v>
      </c>
    </row>
    <row r="126" spans="2:13" x14ac:dyDescent="0.25">
      <c r="B126">
        <v>3</v>
      </c>
      <c r="C126">
        <v>6</v>
      </c>
      <c r="D126" s="2">
        <v>25</v>
      </c>
      <c r="E126" t="s">
        <v>15</v>
      </c>
      <c r="F126" t="s">
        <v>12</v>
      </c>
      <c r="G126" s="2">
        <v>4</v>
      </c>
      <c r="H126">
        <v>3.3401E-2</v>
      </c>
      <c r="I126">
        <v>3.3062000000000001E-2</v>
      </c>
      <c r="J126">
        <v>5000</v>
      </c>
      <c r="K126">
        <v>22801</v>
      </c>
      <c r="M126" s="3">
        <f t="shared" si="3"/>
        <v>5.0746983623244663E-3</v>
      </c>
    </row>
    <row r="127" spans="2:13" x14ac:dyDescent="0.25">
      <c r="B127">
        <v>4</v>
      </c>
      <c r="C127">
        <v>6</v>
      </c>
      <c r="D127" s="2">
        <v>18</v>
      </c>
      <c r="E127" t="s">
        <v>15</v>
      </c>
      <c r="F127" t="s">
        <v>12</v>
      </c>
      <c r="G127" s="2">
        <v>6</v>
      </c>
      <c r="H127">
        <v>5.3283166666700001E-2</v>
      </c>
      <c r="I127">
        <v>5.3244E-2</v>
      </c>
      <c r="J127">
        <v>2592</v>
      </c>
      <c r="K127">
        <v>21025</v>
      </c>
      <c r="M127" s="3">
        <f t="shared" si="3"/>
        <v>3.675332112391011E-4</v>
      </c>
    </row>
    <row r="128" spans="2:13" x14ac:dyDescent="0.25">
      <c r="B128">
        <v>5</v>
      </c>
      <c r="C128">
        <v>6</v>
      </c>
      <c r="D128" s="2">
        <v>15</v>
      </c>
      <c r="E128" t="s">
        <v>15</v>
      </c>
      <c r="F128" t="s">
        <v>12</v>
      </c>
      <c r="G128" s="2">
        <v>8</v>
      </c>
      <c r="H128">
        <v>7.7425333333299998E-2</v>
      </c>
      <c r="I128">
        <v>7.7118999999999993E-2</v>
      </c>
      <c r="J128">
        <v>1800</v>
      </c>
      <c r="K128">
        <v>22801</v>
      </c>
      <c r="M128" s="3">
        <f t="shared" si="3"/>
        <v>1.9782500127012892E-3</v>
      </c>
    </row>
    <row r="129" spans="2:13" x14ac:dyDescent="0.25">
      <c r="B129">
        <v>1</v>
      </c>
      <c r="C129">
        <v>6</v>
      </c>
      <c r="D129" s="2">
        <v>72</v>
      </c>
      <c r="E129" t="s">
        <v>15</v>
      </c>
      <c r="F129" t="s">
        <v>0</v>
      </c>
      <c r="G129" s="2">
        <v>1</v>
      </c>
      <c r="H129">
        <v>1.5145666666699999E-2</v>
      </c>
      <c r="I129">
        <v>1.5084E-2</v>
      </c>
      <c r="J129">
        <v>41472</v>
      </c>
      <c r="K129">
        <v>21025</v>
      </c>
      <c r="M129" s="3">
        <f t="shared" si="3"/>
        <v>2.0357858144198601E-3</v>
      </c>
    </row>
    <row r="130" spans="2:13" x14ac:dyDescent="0.25">
      <c r="B130">
        <v>2</v>
      </c>
      <c r="C130">
        <v>6</v>
      </c>
      <c r="D130" s="2">
        <v>36</v>
      </c>
      <c r="E130" t="s">
        <v>15</v>
      </c>
      <c r="F130" t="s">
        <v>0</v>
      </c>
      <c r="G130" s="2">
        <v>2</v>
      </c>
      <c r="H130">
        <v>3.8319999999999999E-3</v>
      </c>
      <c r="I130">
        <v>3.81E-3</v>
      </c>
      <c r="J130">
        <v>10368</v>
      </c>
      <c r="K130">
        <v>21025</v>
      </c>
      <c r="M130" s="3">
        <f t="shared" si="3"/>
        <v>2.870563674321488E-3</v>
      </c>
    </row>
    <row r="131" spans="2:13" x14ac:dyDescent="0.25">
      <c r="B131">
        <v>3</v>
      </c>
      <c r="C131">
        <v>6</v>
      </c>
      <c r="D131" s="2">
        <v>25</v>
      </c>
      <c r="E131" t="s">
        <v>15</v>
      </c>
      <c r="F131" t="s">
        <v>0</v>
      </c>
      <c r="G131" s="2">
        <v>4</v>
      </c>
      <c r="H131">
        <v>2.5168333333299999E-3</v>
      </c>
      <c r="I131">
        <v>2.5049999999999998E-3</v>
      </c>
      <c r="J131">
        <v>5000</v>
      </c>
      <c r="K131">
        <v>22801</v>
      </c>
      <c r="M131" s="3">
        <f t="shared" si="3"/>
        <v>2.3508376922089362E-3</v>
      </c>
    </row>
    <row r="132" spans="2:13" x14ac:dyDescent="0.25">
      <c r="B132">
        <v>4</v>
      </c>
      <c r="C132">
        <v>6</v>
      </c>
      <c r="D132" s="2">
        <v>18</v>
      </c>
      <c r="E132" t="s">
        <v>15</v>
      </c>
      <c r="F132" t="s">
        <v>0</v>
      </c>
      <c r="G132" s="2">
        <v>6</v>
      </c>
      <c r="H132">
        <v>1.9091666666699999E-3</v>
      </c>
      <c r="I132">
        <v>1.9040000000000001E-3</v>
      </c>
      <c r="J132">
        <v>2592</v>
      </c>
      <c r="K132">
        <v>21025</v>
      </c>
      <c r="M132" s="3">
        <f t="shared" si="3"/>
        <v>1.353120908771054E-3</v>
      </c>
    </row>
    <row r="133" spans="2:13" x14ac:dyDescent="0.25">
      <c r="B133">
        <v>5</v>
      </c>
      <c r="C133">
        <v>6</v>
      </c>
      <c r="D133" s="2">
        <v>15</v>
      </c>
      <c r="E133" t="s">
        <v>15</v>
      </c>
      <c r="F133" t="s">
        <v>0</v>
      </c>
      <c r="G133" s="2">
        <v>8</v>
      </c>
      <c r="H133">
        <v>2.3389999999999999E-3</v>
      </c>
      <c r="I133">
        <v>2.3010000000000001E-3</v>
      </c>
      <c r="J133">
        <v>1800</v>
      </c>
      <c r="K133">
        <v>22801</v>
      </c>
      <c r="M133" s="3">
        <f t="shared" si="3"/>
        <v>8.1231295425395131E-3</v>
      </c>
    </row>
    <row r="134" spans="2:13" x14ac:dyDescent="0.25">
      <c r="B134">
        <v>1</v>
      </c>
      <c r="C134">
        <v>6</v>
      </c>
      <c r="D134" s="2">
        <v>72</v>
      </c>
      <c r="E134" t="s">
        <v>18</v>
      </c>
      <c r="F134" t="s">
        <v>13</v>
      </c>
      <c r="G134" s="2">
        <v>1</v>
      </c>
      <c r="H134">
        <v>1.51895E-2</v>
      </c>
      <c r="I134">
        <v>1.5157E-2</v>
      </c>
      <c r="J134">
        <v>41472</v>
      </c>
      <c r="K134">
        <v>21025</v>
      </c>
      <c r="M134" s="3">
        <f t="shared" si="3"/>
        <v>1.0698179663583246E-3</v>
      </c>
    </row>
    <row r="135" spans="2:13" x14ac:dyDescent="0.25">
      <c r="B135">
        <v>2</v>
      </c>
      <c r="C135">
        <v>6</v>
      </c>
      <c r="D135" s="2">
        <v>36</v>
      </c>
      <c r="E135" t="s">
        <v>18</v>
      </c>
      <c r="F135" t="s">
        <v>13</v>
      </c>
      <c r="G135" s="2">
        <v>2</v>
      </c>
      <c r="H135">
        <v>1.2192833333300001E-2</v>
      </c>
      <c r="I135">
        <v>1.2168E-2</v>
      </c>
      <c r="J135">
        <v>10368</v>
      </c>
      <c r="K135">
        <v>21025</v>
      </c>
      <c r="M135" s="3">
        <f t="shared" si="3"/>
        <v>1.0183577771123126E-3</v>
      </c>
    </row>
    <row r="136" spans="2:13" x14ac:dyDescent="0.25">
      <c r="B136">
        <v>3</v>
      </c>
      <c r="C136">
        <v>6</v>
      </c>
      <c r="D136" s="2">
        <v>25</v>
      </c>
      <c r="E136" t="s">
        <v>18</v>
      </c>
      <c r="F136" t="s">
        <v>13</v>
      </c>
      <c r="G136" s="2">
        <v>4</v>
      </c>
      <c r="H136">
        <v>2.0591000000000002E-2</v>
      </c>
      <c r="I136">
        <v>2.0563999999999999E-2</v>
      </c>
      <c r="J136">
        <v>5000</v>
      </c>
      <c r="K136">
        <v>22801</v>
      </c>
      <c r="M136" s="3">
        <f t="shared" ref="M136:M144" si="4">(H136-I136)/(2*H136)</f>
        <v>6.5562624447580774E-4</v>
      </c>
    </row>
    <row r="137" spans="2:13" x14ac:dyDescent="0.25">
      <c r="B137">
        <v>4</v>
      </c>
      <c r="C137">
        <v>6</v>
      </c>
      <c r="D137" s="2">
        <v>18</v>
      </c>
      <c r="E137" t="s">
        <v>18</v>
      </c>
      <c r="F137" t="s">
        <v>13</v>
      </c>
      <c r="G137" s="2">
        <v>6</v>
      </c>
      <c r="H137">
        <v>3.95205E-2</v>
      </c>
      <c r="I137">
        <v>3.9448999999999998E-2</v>
      </c>
      <c r="J137">
        <v>2592</v>
      </c>
      <c r="K137">
        <v>21025</v>
      </c>
      <c r="M137" s="3">
        <f t="shared" si="4"/>
        <v>9.0459381839807335E-4</v>
      </c>
    </row>
    <row r="138" spans="2:13" x14ac:dyDescent="0.25">
      <c r="B138">
        <v>5</v>
      </c>
      <c r="C138">
        <v>6</v>
      </c>
      <c r="D138" s="2">
        <v>15</v>
      </c>
      <c r="E138" t="s">
        <v>18</v>
      </c>
      <c r="F138" t="s">
        <v>13</v>
      </c>
      <c r="G138" s="2">
        <v>8</v>
      </c>
      <c r="H138">
        <v>6.1575666666700002E-2</v>
      </c>
      <c r="I138">
        <v>6.1421999999999997E-2</v>
      </c>
      <c r="J138">
        <v>1800</v>
      </c>
      <c r="K138">
        <v>22801</v>
      </c>
      <c r="M138" s="3">
        <f t="shared" si="4"/>
        <v>1.2477872755465194E-3</v>
      </c>
    </row>
    <row r="139" spans="2:13" x14ac:dyDescent="0.25">
      <c r="B139">
        <v>1</v>
      </c>
      <c r="C139">
        <v>6</v>
      </c>
      <c r="D139" s="2">
        <v>72</v>
      </c>
      <c r="E139" t="s">
        <v>18</v>
      </c>
      <c r="F139" t="s">
        <v>12</v>
      </c>
      <c r="G139" s="2">
        <v>1</v>
      </c>
      <c r="H139">
        <v>1.5885833333300001E-2</v>
      </c>
      <c r="I139">
        <v>1.5824999999999999E-2</v>
      </c>
      <c r="J139">
        <v>41472</v>
      </c>
      <c r="K139">
        <v>21025</v>
      </c>
      <c r="M139" s="3">
        <f t="shared" si="4"/>
        <v>1.9147038755745543E-3</v>
      </c>
    </row>
    <row r="140" spans="2:13" x14ac:dyDescent="0.25">
      <c r="B140">
        <v>2</v>
      </c>
      <c r="C140">
        <v>6</v>
      </c>
      <c r="D140" s="2">
        <v>36</v>
      </c>
      <c r="E140" t="s">
        <v>18</v>
      </c>
      <c r="F140" t="s">
        <v>12</v>
      </c>
      <c r="G140" s="2">
        <v>2</v>
      </c>
      <c r="H140">
        <v>2.4136833333299999E-2</v>
      </c>
      <c r="I140">
        <v>2.3970000000000002E-2</v>
      </c>
      <c r="J140">
        <v>10368</v>
      </c>
      <c r="K140">
        <v>21025</v>
      </c>
      <c r="M140" s="3">
        <f t="shared" si="4"/>
        <v>3.4559904979297334E-3</v>
      </c>
    </row>
    <row r="141" spans="2:13" x14ac:dyDescent="0.25">
      <c r="B141">
        <v>3</v>
      </c>
      <c r="C141">
        <v>6</v>
      </c>
      <c r="D141" s="2">
        <v>25</v>
      </c>
      <c r="E141" t="s">
        <v>18</v>
      </c>
      <c r="F141" t="s">
        <v>12</v>
      </c>
      <c r="G141" s="2">
        <v>4</v>
      </c>
      <c r="H141">
        <v>3.3474833333300001E-2</v>
      </c>
      <c r="I141">
        <v>3.3360000000000001E-2</v>
      </c>
      <c r="J141">
        <v>5000</v>
      </c>
      <c r="K141">
        <v>22801</v>
      </c>
      <c r="M141" s="3">
        <f t="shared" si="4"/>
        <v>1.71521889529121E-3</v>
      </c>
    </row>
    <row r="142" spans="2:13" x14ac:dyDescent="0.25">
      <c r="B142">
        <v>4</v>
      </c>
      <c r="C142">
        <v>6</v>
      </c>
      <c r="D142" s="2">
        <v>18</v>
      </c>
      <c r="E142" t="s">
        <v>18</v>
      </c>
      <c r="F142" t="s">
        <v>12</v>
      </c>
      <c r="G142" s="2">
        <v>6</v>
      </c>
      <c r="H142">
        <v>5.4023333333299998E-2</v>
      </c>
      <c r="I142">
        <v>5.3851000000000003E-2</v>
      </c>
      <c r="J142">
        <v>2592</v>
      </c>
      <c r="K142">
        <v>21025</v>
      </c>
      <c r="M142" s="3">
        <f t="shared" si="4"/>
        <v>1.5949898189063533E-3</v>
      </c>
    </row>
    <row r="143" spans="2:13" x14ac:dyDescent="0.25">
      <c r="B143">
        <v>5</v>
      </c>
      <c r="C143">
        <v>6</v>
      </c>
      <c r="D143" s="2">
        <v>15</v>
      </c>
      <c r="E143" t="s">
        <v>18</v>
      </c>
      <c r="F143" t="s">
        <v>12</v>
      </c>
      <c r="G143" s="2">
        <v>8</v>
      </c>
      <c r="H143">
        <v>7.7799333333299997E-2</v>
      </c>
      <c r="I143">
        <v>7.7216999999999994E-2</v>
      </c>
      <c r="J143">
        <v>1800</v>
      </c>
      <c r="K143">
        <v>22801</v>
      </c>
      <c r="M143" s="3">
        <f t="shared" si="4"/>
        <v>3.7425342117343714E-3</v>
      </c>
    </row>
    <row r="144" spans="2:13" x14ac:dyDescent="0.25">
      <c r="B144">
        <v>1</v>
      </c>
      <c r="C144">
        <v>6</v>
      </c>
      <c r="D144" s="2">
        <v>72</v>
      </c>
      <c r="E144" t="s">
        <v>18</v>
      </c>
      <c r="F144" t="s">
        <v>0</v>
      </c>
      <c r="G144" s="2">
        <v>1</v>
      </c>
      <c r="H144">
        <v>1.52523333333E-2</v>
      </c>
      <c r="I144">
        <v>1.5216E-2</v>
      </c>
      <c r="J144">
        <v>41472</v>
      </c>
      <c r="K144">
        <v>21025</v>
      </c>
      <c r="M144" s="3">
        <f t="shared" si="4"/>
        <v>1.19107458859014E-3</v>
      </c>
    </row>
    <row r="145" spans="2:11" x14ac:dyDescent="0.25">
      <c r="B145">
        <v>2</v>
      </c>
      <c r="C145">
        <v>6</v>
      </c>
      <c r="D145" s="2">
        <v>36</v>
      </c>
      <c r="E145" t="s">
        <v>18</v>
      </c>
      <c r="F145" t="s">
        <v>0</v>
      </c>
      <c r="G145" s="2">
        <v>2</v>
      </c>
      <c r="H145">
        <v>3.8414999999999999E-3</v>
      </c>
      <c r="I145">
        <v>3.8119999999999999E-3</v>
      </c>
      <c r="J145">
        <v>10368</v>
      </c>
      <c r="K145">
        <v>21025</v>
      </c>
    </row>
    <row r="146" spans="2:11" x14ac:dyDescent="0.25">
      <c r="B146">
        <v>3</v>
      </c>
      <c r="C146">
        <v>6</v>
      </c>
      <c r="D146" s="2">
        <v>25</v>
      </c>
      <c r="E146" t="s">
        <v>18</v>
      </c>
      <c r="F146" t="s">
        <v>0</v>
      </c>
      <c r="G146" s="2">
        <v>4</v>
      </c>
      <c r="H146">
        <v>2.5133333333299999E-3</v>
      </c>
      <c r="I146">
        <v>2.4940000000000001E-3</v>
      </c>
      <c r="J146">
        <v>5000</v>
      </c>
      <c r="K146">
        <v>22801</v>
      </c>
    </row>
    <row r="147" spans="2:11" x14ac:dyDescent="0.25">
      <c r="B147">
        <v>4</v>
      </c>
      <c r="C147">
        <v>6</v>
      </c>
      <c r="D147" s="2">
        <v>18</v>
      </c>
      <c r="E147" t="s">
        <v>18</v>
      </c>
      <c r="F147" t="s">
        <v>0</v>
      </c>
      <c r="G147" s="2">
        <v>6</v>
      </c>
      <c r="H147">
        <v>2.3655E-3</v>
      </c>
      <c r="I147">
        <v>1.897E-3</v>
      </c>
      <c r="J147">
        <v>2592</v>
      </c>
      <c r="K147">
        <v>21025</v>
      </c>
    </row>
    <row r="148" spans="2:11" x14ac:dyDescent="0.25">
      <c r="B148">
        <v>5</v>
      </c>
      <c r="C148">
        <v>6</v>
      </c>
      <c r="D148" s="2">
        <v>15</v>
      </c>
      <c r="E148" t="s">
        <v>18</v>
      </c>
      <c r="F148" t="s">
        <v>0</v>
      </c>
      <c r="G148" s="2">
        <v>8</v>
      </c>
      <c r="H148">
        <v>2.3075000000000001E-3</v>
      </c>
      <c r="I148">
        <v>2.274E-3</v>
      </c>
      <c r="J148">
        <v>1800</v>
      </c>
      <c r="K148">
        <v>22801</v>
      </c>
    </row>
  </sheetData>
  <autoFilter ref="B6:L27">
    <sortState ref="B7:L83">
      <sortCondition ref="B6:B27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Q7:Q11" r:id="rId5">
            <anchor moveWithCells="1">
              <from>
                <xdr:col>6</xdr:col>
                <xdr:colOff>923925</xdr:colOff>
                <xdr:row>3</xdr:row>
                <xdr:rowOff>209550</xdr:rowOff>
              </from>
              <to>
                <xdr:col>7</xdr:col>
                <xdr:colOff>247650</xdr:colOff>
                <xdr:row>3</xdr:row>
                <xdr:rowOff>457200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33" r:id="rId6" name="ComboBox2">
          <controlPr defaultSize="0" autoLine="0" listFillRange="R7:R12" r:id="rId7">
            <anchor moveWithCells="1">
              <from>
                <xdr:col>8</xdr:col>
                <xdr:colOff>95250</xdr:colOff>
                <xdr:row>3</xdr:row>
                <xdr:rowOff>161925</xdr:rowOff>
              </from>
              <to>
                <xdr:col>9</xdr:col>
                <xdr:colOff>419100</xdr:colOff>
                <xdr:row>3</xdr:row>
                <xdr:rowOff>409575</xdr:rowOff>
              </to>
            </anchor>
          </controlPr>
        </control>
      </mc:Choice>
      <mc:Fallback>
        <control shapeId="1033" r:id="rId6" name="ComboBox2"/>
      </mc:Fallback>
    </mc:AlternateContent>
    <mc:AlternateContent xmlns:mc="http://schemas.openxmlformats.org/markup-compatibility/2006">
      <mc:Choice Requires="x14">
        <control shapeId="1039" r:id="rId8" name="ComboBox3">
          <controlPr defaultSize="0" autoLine="0" listFillRange="Q7:Q11" r:id="rId9">
            <anchor moveWithCells="1">
              <from>
                <xdr:col>13</xdr:col>
                <xdr:colOff>381000</xdr:colOff>
                <xdr:row>3</xdr:row>
                <xdr:rowOff>200025</xdr:rowOff>
              </from>
              <to>
                <xdr:col>14</xdr:col>
                <xdr:colOff>161925</xdr:colOff>
                <xdr:row>3</xdr:row>
                <xdr:rowOff>447675</xdr:rowOff>
              </to>
            </anchor>
          </controlPr>
        </control>
      </mc:Choice>
      <mc:Fallback>
        <control shapeId="1039" r:id="rId8" name="ComboBox3"/>
      </mc:Fallback>
    </mc:AlternateContent>
    <mc:AlternateContent xmlns:mc="http://schemas.openxmlformats.org/markup-compatibility/2006">
      <mc:Choice Requires="x14">
        <control shapeId="1041" r:id="rId10" name="ComboBox4">
          <controlPr defaultSize="0" autoLine="0" listFillRange="T7:T10" r:id="rId11">
            <anchor moveWithCells="1">
              <from>
                <xdr:col>15</xdr:col>
                <xdr:colOff>314325</xdr:colOff>
                <xdr:row>3</xdr:row>
                <xdr:rowOff>152400</xdr:rowOff>
              </from>
              <to>
                <xdr:col>17</xdr:col>
                <xdr:colOff>19050</xdr:colOff>
                <xdr:row>3</xdr:row>
                <xdr:rowOff>400050</xdr:rowOff>
              </to>
            </anchor>
          </controlPr>
        </control>
      </mc:Choice>
      <mc:Fallback>
        <control shapeId="1041" r:id="rId10" name="ComboBox4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compareIntegrationMethod">
            <anchor moveWithCells="1" sizeWithCells="1">
              <from>
                <xdr:col>7</xdr:col>
                <xdr:colOff>790575</xdr:colOff>
                <xdr:row>0</xdr:row>
                <xdr:rowOff>104775</xdr:rowOff>
              </from>
              <to>
                <xdr:col>9</xdr:col>
                <xdr:colOff>485775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importBenchFiles">
            <anchor moveWithCells="1" sizeWithCells="1">
              <from>
                <xdr:col>1</xdr:col>
                <xdr:colOff>104775</xdr:colOff>
                <xdr:row>1</xdr:row>
                <xdr:rowOff>19050</xdr:rowOff>
              </from>
              <to>
                <xdr:col>5</xdr:col>
                <xdr:colOff>714375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4" name="Group Box 11">
          <controlPr defaultSize="0" autoFill="0" autoPict="0">
            <anchor moveWithCells="1">
              <from>
                <xdr:col>6</xdr:col>
                <xdr:colOff>561975</xdr:colOff>
                <xdr:row>3</xdr:row>
                <xdr:rowOff>66675</xdr:rowOff>
              </from>
              <to>
                <xdr:col>7</xdr:col>
                <xdr:colOff>552450</xdr:colOff>
                <xdr:row>3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5" name="Group Box 12">
          <controlPr defaultSize="0" autoFill="0" autoPict="0">
            <anchor moveWithCells="1">
              <from>
                <xdr:col>7</xdr:col>
                <xdr:colOff>790575</xdr:colOff>
                <xdr:row>3</xdr:row>
                <xdr:rowOff>9525</xdr:rowOff>
              </from>
              <to>
                <xdr:col>10</xdr:col>
                <xdr:colOff>504825</xdr:colOff>
                <xdr:row>3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6" name="Button 14">
          <controlPr defaultSize="0" print="0" autoFill="0" autoPict="0" macro="[0]!compareMassIntegrationMethod">
            <anchor moveWithCells="1" sizeWithCells="1">
              <from>
                <xdr:col>12</xdr:col>
                <xdr:colOff>485775</xdr:colOff>
                <xdr:row>0</xdr:row>
                <xdr:rowOff>114300</xdr:rowOff>
              </from>
              <to>
                <xdr:col>17</xdr:col>
                <xdr:colOff>590550</xdr:colOff>
                <xdr:row>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7" name="Group Box 16">
          <controlPr defaultSize="0" autoFill="0" autoPict="0">
            <anchor moveWithCells="1">
              <from>
                <xdr:col>13</xdr:col>
                <xdr:colOff>19050</xdr:colOff>
                <xdr:row>3</xdr:row>
                <xdr:rowOff>57150</xdr:rowOff>
              </from>
              <to>
                <xdr:col>14</xdr:col>
                <xdr:colOff>466725</xdr:colOff>
                <xdr:row>3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Group Box 18">
          <controlPr defaultSize="0" autoFill="0" autoPict="0">
            <anchor moveWithCells="1">
              <from>
                <xdr:col>15</xdr:col>
                <xdr:colOff>133350</xdr:colOff>
                <xdr:row>3</xdr:row>
                <xdr:rowOff>0</xdr:rowOff>
              </from>
              <to>
                <xdr:col>17</xdr:col>
                <xdr:colOff>942975</xdr:colOff>
                <xdr:row>3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eFigureStiffness">
            <anchor moveWithCells="1" sizeWithCells="1">
              <from>
                <xdr:col>6</xdr:col>
                <xdr:colOff>323850</xdr:colOff>
                <xdr:row>0</xdr:row>
                <xdr:rowOff>123825</xdr:rowOff>
              </from>
              <to>
                <xdr:col>7</xdr:col>
                <xdr:colOff>657225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0" name="Button 21">
          <controlPr defaultSize="0" print="0" autoFill="0" autoPict="0" macro="[0]!createFigureMass">
            <anchor moveWithCells="1" sizeWithCells="1">
              <from>
                <xdr:col>17</xdr:col>
                <xdr:colOff>771525</xdr:colOff>
                <xdr:row>0</xdr:row>
                <xdr:rowOff>123825</xdr:rowOff>
              </from>
              <to>
                <xdr:col>19</xdr:col>
                <xdr:colOff>476250</xdr:colOff>
                <xdr:row>2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7"/>
  <sheetViews>
    <sheetView workbookViewId="0">
      <selection activeCell="F7" sqref="A2:F7"/>
    </sheetView>
  </sheetViews>
  <sheetFormatPr defaultRowHeight="15" x14ac:dyDescent="0.25"/>
  <cols>
    <col min="1" max="1" width="32.7109375" customWidth="1"/>
    <col min="2" max="2" width="9.140625" style="2"/>
    <col min="3" max="3" width="13.28515625" style="2" customWidth="1"/>
    <col min="4" max="4" width="12.85546875" style="2" customWidth="1"/>
    <col min="5" max="5" width="11" style="2" customWidth="1"/>
    <col min="6" max="6" width="12.5703125" style="2" customWidth="1"/>
  </cols>
  <sheetData>
    <row r="2" spans="1:6" s="4" customFormat="1" ht="45" x14ac:dyDescent="0.25">
      <c r="A2" s="5"/>
      <c r="B2" s="12" t="s">
        <v>26</v>
      </c>
      <c r="C2" s="13" t="s">
        <v>27</v>
      </c>
      <c r="D2" s="14" t="s">
        <v>28</v>
      </c>
      <c r="E2" s="15" t="s">
        <v>29</v>
      </c>
      <c r="F2" s="15" t="s">
        <v>30</v>
      </c>
    </row>
    <row r="3" spans="1:6" x14ac:dyDescent="0.25">
      <c r="A3" s="6" t="s">
        <v>31</v>
      </c>
      <c r="B3" s="7" t="s">
        <v>32</v>
      </c>
      <c r="C3" s="8"/>
      <c r="D3" s="9"/>
      <c r="E3" s="10">
        <v>7</v>
      </c>
      <c r="F3" s="10">
        <v>1</v>
      </c>
    </row>
    <row r="4" spans="1:6" x14ac:dyDescent="0.25">
      <c r="A4" s="6" t="s">
        <v>33</v>
      </c>
      <c r="B4" s="7" t="s">
        <v>32</v>
      </c>
      <c r="C4" s="8"/>
      <c r="D4" s="9"/>
      <c r="E4" s="10">
        <v>5</v>
      </c>
      <c r="F4" s="10"/>
    </row>
    <row r="5" spans="1:6" ht="30" x14ac:dyDescent="0.25">
      <c r="A5" s="11" t="s">
        <v>34</v>
      </c>
      <c r="B5" s="7" t="s">
        <v>32</v>
      </c>
      <c r="C5" s="8" t="s">
        <v>32</v>
      </c>
      <c r="D5" s="9" t="s">
        <v>32</v>
      </c>
      <c r="E5" s="10">
        <v>2</v>
      </c>
      <c r="F5" s="10">
        <v>5</v>
      </c>
    </row>
    <row r="6" spans="1:6" x14ac:dyDescent="0.25">
      <c r="A6" s="6" t="s">
        <v>35</v>
      </c>
      <c r="B6" s="7"/>
      <c r="C6" s="8" t="s">
        <v>32</v>
      </c>
      <c r="D6" s="9"/>
      <c r="E6" s="10">
        <v>3</v>
      </c>
      <c r="F6" s="10">
        <v>3</v>
      </c>
    </row>
    <row r="7" spans="1:6" x14ac:dyDescent="0.25">
      <c r="A7" s="6" t="s">
        <v>36</v>
      </c>
      <c r="B7" s="7"/>
      <c r="C7" s="8"/>
      <c r="D7" s="9"/>
      <c r="E7" s="10">
        <v>3</v>
      </c>
      <c r="F7" s="10">
        <v>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G28"/>
  <sheetViews>
    <sheetView workbookViewId="0">
      <selection activeCell="A9" sqref="A9"/>
    </sheetView>
  </sheetViews>
  <sheetFormatPr defaultRowHeight="15" x14ac:dyDescent="0.25"/>
  <cols>
    <col min="1" max="1" width="9.85546875" customWidth="1"/>
    <col min="2" max="2" width="15.140625" customWidth="1"/>
    <col min="3" max="3" width="13.140625" customWidth="1"/>
    <col min="4" max="4" width="12.7109375" customWidth="1"/>
    <col min="5" max="5" width="11.7109375" customWidth="1"/>
  </cols>
  <sheetData>
    <row r="4" spans="1:7" s="4" customFormat="1" ht="45" x14ac:dyDescent="0.25">
      <c r="A4" s="4" t="s">
        <v>1</v>
      </c>
      <c r="B4" s="1" t="s">
        <v>4</v>
      </c>
      <c r="C4" s="1" t="s">
        <v>5</v>
      </c>
      <c r="D4" s="1" t="s">
        <v>6</v>
      </c>
      <c r="E4" s="1" t="s">
        <v>8</v>
      </c>
      <c r="F4" s="1" t="s">
        <v>10</v>
      </c>
    </row>
    <row r="5" spans="1:7" x14ac:dyDescent="0.25">
      <c r="A5">
        <v>5</v>
      </c>
      <c r="B5" t="s">
        <v>24</v>
      </c>
      <c r="C5" t="s">
        <v>13</v>
      </c>
      <c r="D5">
        <v>5</v>
      </c>
      <c r="E5">
        <v>2.3317999999999998E-2</v>
      </c>
      <c r="F5">
        <v>1800</v>
      </c>
    </row>
    <row r="6" spans="1:7" x14ac:dyDescent="0.25">
      <c r="A6">
        <v>5</v>
      </c>
      <c r="B6" t="s">
        <v>24</v>
      </c>
      <c r="C6" t="s">
        <v>22</v>
      </c>
      <c r="D6">
        <v>5</v>
      </c>
      <c r="E6">
        <v>1.6275999999999999E-2</v>
      </c>
      <c r="F6">
        <v>1800</v>
      </c>
      <c r="G6">
        <f>E6/E5</f>
        <v>0.69800154387168711</v>
      </c>
    </row>
    <row r="7" spans="1:7" x14ac:dyDescent="0.25">
      <c r="A7">
        <v>5</v>
      </c>
      <c r="B7" t="s">
        <v>24</v>
      </c>
      <c r="C7" t="s">
        <v>0</v>
      </c>
      <c r="D7">
        <v>5</v>
      </c>
      <c r="E7">
        <v>1.217E-3</v>
      </c>
      <c r="F7">
        <v>1800</v>
      </c>
      <c r="G7">
        <f>E5/E7</f>
        <v>19.160230073952341</v>
      </c>
    </row>
    <row r="9" spans="1:7" x14ac:dyDescent="0.25">
      <c r="A9">
        <f>2.64*2</f>
        <v>5.28</v>
      </c>
    </row>
    <row r="11" spans="1:7" x14ac:dyDescent="0.25">
      <c r="E11">
        <v>2</v>
      </c>
      <c r="F11">
        <v>5.1962626611944449E-5</v>
      </c>
    </row>
    <row r="12" spans="1:7" x14ac:dyDescent="0.25">
      <c r="E12">
        <v>3</v>
      </c>
      <c r="F12">
        <v>5.288129121583334E-5</v>
      </c>
    </row>
    <row r="13" spans="1:7" x14ac:dyDescent="0.25">
      <c r="E13">
        <v>4</v>
      </c>
      <c r="F13">
        <v>5.3830125428968255E-5</v>
      </c>
    </row>
    <row r="14" spans="1:7" x14ac:dyDescent="0.25">
      <c r="E14">
        <v>5</v>
      </c>
      <c r="F14">
        <v>5.698641967333333E-5</v>
      </c>
    </row>
    <row r="15" spans="1:7" x14ac:dyDescent="0.25">
      <c r="E15">
        <v>6</v>
      </c>
      <c r="F15">
        <v>6.5585741127272728E-5</v>
      </c>
    </row>
    <row r="16" spans="1:7" x14ac:dyDescent="0.25">
      <c r="E16">
        <v>7</v>
      </c>
      <c r="F16">
        <v>7.3915310759768016E-5</v>
      </c>
    </row>
    <row r="17" spans="2:6" x14ac:dyDescent="0.25">
      <c r="E17">
        <v>8</v>
      </c>
      <c r="F17">
        <v>8.533398572103174E-5</v>
      </c>
    </row>
    <row r="18" spans="2:6" x14ac:dyDescent="0.25">
      <c r="E18">
        <v>9</v>
      </c>
      <c r="F18">
        <v>9.5320045066176474E-5</v>
      </c>
    </row>
    <row r="19" spans="2:6" x14ac:dyDescent="0.25">
      <c r="E19">
        <v>10</v>
      </c>
      <c r="F19">
        <v>1.1293694728557505E-4</v>
      </c>
    </row>
    <row r="20" spans="2:6" x14ac:dyDescent="0.25">
      <c r="E20">
        <v>11</v>
      </c>
      <c r="F20">
        <v>1.3103141298701298E-4</v>
      </c>
    </row>
    <row r="27" spans="2:6" x14ac:dyDescent="0.25">
      <c r="B27">
        <f>1-0.0136151570872174-0.263112829634638</f>
        <v>0.72327201327814461</v>
      </c>
    </row>
    <row r="28" spans="2:6" x14ac:dyDescent="0.25">
      <c r="B28">
        <f>0.0399227502581674/6</f>
        <v>6.6537917096945662E-3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L148"/>
  <sheetViews>
    <sheetView workbookViewId="0">
      <selection activeCell="B7" sqref="B7:L7"/>
    </sheetView>
  </sheetViews>
  <sheetFormatPr defaultRowHeight="15" x14ac:dyDescent="0.25"/>
  <cols>
    <col min="5" max="5" width="15.28515625" customWidth="1"/>
  </cols>
  <sheetData>
    <row r="3" spans="2:12" x14ac:dyDescent="0.25">
      <c r="D3" t="s">
        <v>25</v>
      </c>
    </row>
    <row r="5" spans="2:12" ht="60" x14ac:dyDescent="0.25"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 t="s">
        <v>11</v>
      </c>
    </row>
    <row r="6" spans="2:12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2:12" x14ac:dyDescent="0.25">
      <c r="B7">
        <v>1</v>
      </c>
      <c r="C7">
        <v>6</v>
      </c>
      <c r="D7" s="2">
        <v>24</v>
      </c>
      <c r="E7" t="s">
        <v>20</v>
      </c>
      <c r="F7" t="s">
        <v>13</v>
      </c>
      <c r="G7" s="2">
        <v>1</v>
      </c>
      <c r="H7">
        <v>6.0263166666700001E-2</v>
      </c>
      <c r="I7" s="3">
        <v>6.0097999999999999E-2</v>
      </c>
      <c r="J7">
        <v>155664</v>
      </c>
      <c r="K7">
        <v>27672</v>
      </c>
      <c r="L7">
        <f t="shared" ref="L7:L70" si="0">I7/J7</f>
        <v>3.8607513619076983E-7</v>
      </c>
    </row>
    <row r="8" spans="2:12" x14ac:dyDescent="0.25">
      <c r="B8">
        <v>2</v>
      </c>
      <c r="C8">
        <v>6</v>
      </c>
      <c r="D8" s="2">
        <v>12</v>
      </c>
      <c r="E8" t="s">
        <v>20</v>
      </c>
      <c r="F8" t="s">
        <v>13</v>
      </c>
      <c r="G8" s="2">
        <v>4</v>
      </c>
      <c r="H8">
        <v>9.38926666667E-2</v>
      </c>
      <c r="I8">
        <v>8.1850000000000006E-2</v>
      </c>
      <c r="J8">
        <v>18216</v>
      </c>
      <c r="K8">
        <v>25967</v>
      </c>
      <c r="L8">
        <f t="shared" si="0"/>
        <v>4.4933025911286783E-6</v>
      </c>
    </row>
    <row r="9" spans="2:12" x14ac:dyDescent="0.25">
      <c r="B9">
        <v>3</v>
      </c>
      <c r="C9">
        <v>6</v>
      </c>
      <c r="D9" s="2">
        <v>8</v>
      </c>
      <c r="E9" t="s">
        <v>20</v>
      </c>
      <c r="F9" t="s">
        <v>13</v>
      </c>
      <c r="G9" s="2">
        <v>6</v>
      </c>
      <c r="H9">
        <v>0.107035333333</v>
      </c>
      <c r="I9">
        <v>0.106544</v>
      </c>
      <c r="J9">
        <v>5040</v>
      </c>
      <c r="K9">
        <v>24310</v>
      </c>
      <c r="L9">
        <f t="shared" si="0"/>
        <v>2.1139682539682541E-5</v>
      </c>
    </row>
    <row r="10" spans="2:12" x14ac:dyDescent="0.25">
      <c r="B10">
        <v>4</v>
      </c>
      <c r="C10">
        <v>6</v>
      </c>
      <c r="D10" s="2">
        <v>6</v>
      </c>
      <c r="E10" t="s">
        <v>20</v>
      </c>
      <c r="F10" t="s">
        <v>13</v>
      </c>
      <c r="G10" s="2">
        <v>8</v>
      </c>
      <c r="H10">
        <v>0.15919516666700001</v>
      </c>
      <c r="I10">
        <v>0.158748</v>
      </c>
      <c r="J10">
        <v>1980</v>
      </c>
      <c r="K10">
        <v>22701</v>
      </c>
      <c r="L10">
        <f t="shared" si="0"/>
        <v>8.0175757575757576E-5</v>
      </c>
    </row>
    <row r="11" spans="2:12" x14ac:dyDescent="0.25">
      <c r="B11">
        <v>5</v>
      </c>
      <c r="C11">
        <v>6</v>
      </c>
      <c r="D11" s="2">
        <v>5</v>
      </c>
      <c r="E11" t="s">
        <v>20</v>
      </c>
      <c r="F11" t="s">
        <v>13</v>
      </c>
      <c r="G11" s="2">
        <v>10</v>
      </c>
      <c r="H11">
        <v>0.29400016666700002</v>
      </c>
      <c r="I11">
        <v>0.29376400000000003</v>
      </c>
      <c r="J11">
        <v>1080</v>
      </c>
      <c r="K11">
        <v>24171</v>
      </c>
      <c r="L11">
        <f t="shared" si="0"/>
        <v>2.7200370370370375E-4</v>
      </c>
    </row>
    <row r="12" spans="2:12" x14ac:dyDescent="0.25">
      <c r="B12">
        <v>1</v>
      </c>
      <c r="C12">
        <v>6</v>
      </c>
      <c r="D12" s="2">
        <v>24</v>
      </c>
      <c r="E12" t="s">
        <v>20</v>
      </c>
      <c r="F12" t="s">
        <v>0</v>
      </c>
      <c r="G12" s="2">
        <v>1</v>
      </c>
      <c r="H12">
        <v>4.0310499999999999E-2</v>
      </c>
      <c r="I12">
        <v>3.9787000000000003E-2</v>
      </c>
      <c r="J12">
        <v>155664</v>
      </c>
      <c r="K12">
        <v>27672</v>
      </c>
      <c r="L12">
        <f t="shared" si="0"/>
        <v>2.5559538493164764E-7</v>
      </c>
    </row>
    <row r="13" spans="2:12" x14ac:dyDescent="0.25">
      <c r="B13">
        <v>2</v>
      </c>
      <c r="C13">
        <v>6</v>
      </c>
      <c r="D13" s="2">
        <v>12</v>
      </c>
      <c r="E13" t="s">
        <v>20</v>
      </c>
      <c r="F13" t="s">
        <v>0</v>
      </c>
      <c r="G13" s="2">
        <v>4</v>
      </c>
      <c r="H13">
        <v>7.8308333333299996E-3</v>
      </c>
      <c r="I13">
        <v>7.7520000000000002E-3</v>
      </c>
      <c r="J13">
        <v>18216</v>
      </c>
      <c r="K13">
        <v>25967</v>
      </c>
      <c r="L13">
        <f t="shared" si="0"/>
        <v>4.2555994729907773E-7</v>
      </c>
    </row>
    <row r="14" spans="2:12" x14ac:dyDescent="0.25">
      <c r="B14">
        <v>3</v>
      </c>
      <c r="C14">
        <v>6</v>
      </c>
      <c r="D14" s="2">
        <v>8</v>
      </c>
      <c r="E14" t="s">
        <v>20</v>
      </c>
      <c r="F14" t="s">
        <v>0</v>
      </c>
      <c r="G14" s="2">
        <v>6</v>
      </c>
      <c r="H14">
        <v>7.9835000000000003E-2</v>
      </c>
      <c r="I14">
        <v>5.0220000000000004E-3</v>
      </c>
      <c r="J14">
        <v>5040</v>
      </c>
      <c r="K14">
        <v>24310</v>
      </c>
      <c r="L14">
        <f t="shared" si="0"/>
        <v>9.9642857142857145E-7</v>
      </c>
    </row>
    <row r="15" spans="2:12" x14ac:dyDescent="0.25">
      <c r="B15">
        <v>4</v>
      </c>
      <c r="C15">
        <v>6</v>
      </c>
      <c r="D15" s="2">
        <v>6</v>
      </c>
      <c r="E15" t="s">
        <v>20</v>
      </c>
      <c r="F15" t="s">
        <v>0</v>
      </c>
      <c r="G15" s="2">
        <v>8</v>
      </c>
      <c r="H15">
        <v>4.8841666666700001E-3</v>
      </c>
      <c r="I15">
        <v>4.8339999999999998E-3</v>
      </c>
      <c r="J15">
        <v>1980</v>
      </c>
      <c r="K15">
        <v>22701</v>
      </c>
      <c r="L15">
        <f t="shared" si="0"/>
        <v>2.4414141414141415E-6</v>
      </c>
    </row>
    <row r="16" spans="2:12" x14ac:dyDescent="0.25">
      <c r="B16">
        <v>5</v>
      </c>
      <c r="C16">
        <v>6</v>
      </c>
      <c r="D16" s="2">
        <v>5</v>
      </c>
      <c r="E16" t="s">
        <v>20</v>
      </c>
      <c r="F16" t="s">
        <v>0</v>
      </c>
      <c r="G16" s="2">
        <v>10</v>
      </c>
      <c r="H16">
        <v>5.8133333333300003E-3</v>
      </c>
      <c r="I16">
        <v>5.7739999999999996E-3</v>
      </c>
      <c r="J16">
        <v>1080</v>
      </c>
      <c r="K16">
        <v>24171</v>
      </c>
      <c r="L16">
        <f t="shared" si="0"/>
        <v>5.3462962962962956E-6</v>
      </c>
    </row>
    <row r="17" spans="2:12" x14ac:dyDescent="0.25">
      <c r="B17">
        <v>2</v>
      </c>
      <c r="C17">
        <v>6</v>
      </c>
      <c r="D17" s="2">
        <v>12</v>
      </c>
      <c r="E17" t="s">
        <v>20</v>
      </c>
      <c r="F17" t="s">
        <v>22</v>
      </c>
      <c r="G17" s="2">
        <v>4</v>
      </c>
      <c r="H17">
        <v>0.14849866666700001</v>
      </c>
      <c r="I17">
        <v>0.14763999999999999</v>
      </c>
      <c r="J17">
        <v>18216</v>
      </c>
      <c r="K17">
        <v>25967</v>
      </c>
      <c r="L17">
        <f t="shared" si="0"/>
        <v>8.1049626701800612E-6</v>
      </c>
    </row>
    <row r="18" spans="2:12" x14ac:dyDescent="0.25">
      <c r="B18">
        <v>3</v>
      </c>
      <c r="C18">
        <v>6</v>
      </c>
      <c r="D18" s="2">
        <v>8</v>
      </c>
      <c r="E18" t="s">
        <v>20</v>
      </c>
      <c r="F18" t="s">
        <v>22</v>
      </c>
      <c r="G18" s="2">
        <v>6</v>
      </c>
      <c r="H18">
        <v>1.2183265000000001</v>
      </c>
      <c r="I18">
        <v>1.185988</v>
      </c>
      <c r="J18">
        <v>5040</v>
      </c>
      <c r="K18">
        <v>24310</v>
      </c>
      <c r="L18">
        <f t="shared" si="0"/>
        <v>2.3531507936507936E-4</v>
      </c>
    </row>
    <row r="19" spans="2:12" x14ac:dyDescent="0.25">
      <c r="B19">
        <v>1</v>
      </c>
      <c r="C19">
        <v>6</v>
      </c>
      <c r="D19" s="2">
        <v>72</v>
      </c>
      <c r="E19" t="s">
        <v>21</v>
      </c>
      <c r="F19" t="s">
        <v>13</v>
      </c>
      <c r="G19" s="2">
        <v>1</v>
      </c>
      <c r="H19">
        <v>3.1820000000000001E-2</v>
      </c>
      <c r="I19">
        <v>3.1634000000000002E-2</v>
      </c>
      <c r="J19">
        <v>41472</v>
      </c>
      <c r="K19">
        <v>21025</v>
      </c>
      <c r="L19">
        <f t="shared" si="0"/>
        <v>7.6277970679012355E-7</v>
      </c>
    </row>
    <row r="20" spans="2:12" x14ac:dyDescent="0.25">
      <c r="B20">
        <v>2</v>
      </c>
      <c r="C20">
        <v>6</v>
      </c>
      <c r="D20" s="2">
        <v>36</v>
      </c>
      <c r="E20" t="s">
        <v>21</v>
      </c>
      <c r="F20" t="s">
        <v>13</v>
      </c>
      <c r="G20" s="2">
        <v>4</v>
      </c>
      <c r="H20">
        <v>1.7365499999999999E-2</v>
      </c>
      <c r="I20">
        <v>1.7273E-2</v>
      </c>
      <c r="J20">
        <v>10368</v>
      </c>
      <c r="K20">
        <v>21025</v>
      </c>
      <c r="L20">
        <f t="shared" si="0"/>
        <v>1.6659915123456789E-6</v>
      </c>
    </row>
    <row r="21" spans="2:12" x14ac:dyDescent="0.25">
      <c r="B21">
        <v>3</v>
      </c>
      <c r="C21">
        <v>6</v>
      </c>
      <c r="D21" s="2">
        <v>25</v>
      </c>
      <c r="E21" t="s">
        <v>21</v>
      </c>
      <c r="F21" t="s">
        <v>13</v>
      </c>
      <c r="G21" s="2">
        <v>6</v>
      </c>
      <c r="H21">
        <v>2.40273333333E-2</v>
      </c>
      <c r="I21">
        <v>2.3990000000000001E-2</v>
      </c>
      <c r="J21">
        <v>5000</v>
      </c>
      <c r="K21">
        <v>22801</v>
      </c>
      <c r="L21">
        <f t="shared" si="0"/>
        <v>4.7980000000000005E-6</v>
      </c>
    </row>
    <row r="22" spans="2:12" x14ac:dyDescent="0.25">
      <c r="B22">
        <v>4</v>
      </c>
      <c r="C22">
        <v>6</v>
      </c>
      <c r="D22" s="2">
        <v>18</v>
      </c>
      <c r="E22" t="s">
        <v>21</v>
      </c>
      <c r="F22" t="s">
        <v>13</v>
      </c>
      <c r="G22" s="2">
        <v>8</v>
      </c>
      <c r="H22">
        <v>2.7379333333300001E-2</v>
      </c>
      <c r="I22">
        <v>2.7328000000000002E-2</v>
      </c>
      <c r="J22">
        <v>2592</v>
      </c>
      <c r="K22">
        <v>21025</v>
      </c>
      <c r="L22">
        <f t="shared" si="0"/>
        <v>1.054320987654321E-5</v>
      </c>
    </row>
    <row r="23" spans="2:12" x14ac:dyDescent="0.25">
      <c r="B23">
        <v>5</v>
      </c>
      <c r="C23">
        <v>6</v>
      </c>
      <c r="D23" s="2">
        <v>15</v>
      </c>
      <c r="E23" t="s">
        <v>21</v>
      </c>
      <c r="F23" t="s">
        <v>13</v>
      </c>
      <c r="G23" s="2">
        <v>10</v>
      </c>
      <c r="H23">
        <v>4.7373833333300003E-2</v>
      </c>
      <c r="I23">
        <v>4.7273000000000003E-2</v>
      </c>
      <c r="J23">
        <v>1800</v>
      </c>
      <c r="K23">
        <v>22801</v>
      </c>
      <c r="L23">
        <f t="shared" si="0"/>
        <v>2.6262777777777778E-5</v>
      </c>
    </row>
    <row r="24" spans="2:12" x14ac:dyDescent="0.25">
      <c r="B24">
        <v>1</v>
      </c>
      <c r="C24">
        <v>6</v>
      </c>
      <c r="D24" s="2">
        <v>72</v>
      </c>
      <c r="E24" t="s">
        <v>21</v>
      </c>
      <c r="F24" t="s">
        <v>0</v>
      </c>
      <c r="G24" s="2">
        <v>1</v>
      </c>
      <c r="H24">
        <v>3.0114666666699999E-2</v>
      </c>
      <c r="I24">
        <v>2.9838E-2</v>
      </c>
      <c r="J24">
        <v>41472</v>
      </c>
      <c r="K24">
        <v>21025</v>
      </c>
      <c r="L24">
        <f t="shared" si="0"/>
        <v>7.194733796296296E-7</v>
      </c>
    </row>
    <row r="25" spans="2:12" x14ac:dyDescent="0.25">
      <c r="B25">
        <v>2</v>
      </c>
      <c r="C25">
        <v>6</v>
      </c>
      <c r="D25" s="2">
        <v>36</v>
      </c>
      <c r="E25" t="s">
        <v>21</v>
      </c>
      <c r="F25" t="s">
        <v>0</v>
      </c>
      <c r="G25" s="2">
        <v>4</v>
      </c>
      <c r="H25">
        <v>6.9614999999999998E-3</v>
      </c>
      <c r="I25">
        <v>6.9230000000000003E-3</v>
      </c>
      <c r="J25">
        <v>10368</v>
      </c>
      <c r="K25">
        <v>21025</v>
      </c>
      <c r="L25">
        <f t="shared" si="0"/>
        <v>6.6772762345679017E-7</v>
      </c>
    </row>
    <row r="26" spans="2:12" x14ac:dyDescent="0.25">
      <c r="B26">
        <v>3</v>
      </c>
      <c r="C26">
        <v>6</v>
      </c>
      <c r="D26" s="2">
        <v>25</v>
      </c>
      <c r="E26" t="s">
        <v>21</v>
      </c>
      <c r="F26" t="s">
        <v>0</v>
      </c>
      <c r="G26" s="2">
        <v>6</v>
      </c>
      <c r="H26">
        <v>4.0613333333300002E-3</v>
      </c>
      <c r="I26">
        <v>4.0379999999999999E-3</v>
      </c>
      <c r="J26">
        <v>5000</v>
      </c>
      <c r="K26">
        <v>22801</v>
      </c>
      <c r="L26">
        <f t="shared" si="0"/>
        <v>8.0760000000000001E-7</v>
      </c>
    </row>
    <row r="27" spans="2:12" x14ac:dyDescent="0.25">
      <c r="B27">
        <v>4</v>
      </c>
      <c r="C27">
        <v>6</v>
      </c>
      <c r="D27" s="2">
        <v>18</v>
      </c>
      <c r="E27" t="s">
        <v>21</v>
      </c>
      <c r="F27" t="s">
        <v>0</v>
      </c>
      <c r="G27" s="2">
        <v>8</v>
      </c>
      <c r="H27">
        <v>2.79516666667E-3</v>
      </c>
      <c r="I27">
        <v>2.7669999999999999E-3</v>
      </c>
      <c r="J27">
        <v>2592</v>
      </c>
      <c r="K27">
        <v>21025</v>
      </c>
      <c r="L27">
        <f t="shared" si="0"/>
        <v>1.0675154320987653E-6</v>
      </c>
    </row>
    <row r="28" spans="2:12" x14ac:dyDescent="0.25">
      <c r="B28">
        <v>5</v>
      </c>
      <c r="C28">
        <v>6</v>
      </c>
      <c r="D28" s="2">
        <v>15</v>
      </c>
      <c r="E28" t="s">
        <v>21</v>
      </c>
      <c r="F28" t="s">
        <v>0</v>
      </c>
      <c r="G28" s="2">
        <v>10</v>
      </c>
      <c r="H28">
        <v>2.71383333333E-3</v>
      </c>
      <c r="I28">
        <v>2.6770000000000001E-3</v>
      </c>
      <c r="J28">
        <v>1800</v>
      </c>
      <c r="K28">
        <v>22801</v>
      </c>
      <c r="L28">
        <f t="shared" si="0"/>
        <v>1.4872222222222223E-6</v>
      </c>
    </row>
    <row r="29" spans="2:12" x14ac:dyDescent="0.25">
      <c r="B29">
        <v>2</v>
      </c>
      <c r="C29">
        <v>6</v>
      </c>
      <c r="D29" s="2">
        <v>36</v>
      </c>
      <c r="E29" t="s">
        <v>21</v>
      </c>
      <c r="F29" t="s">
        <v>22</v>
      </c>
      <c r="G29" s="2">
        <v>4</v>
      </c>
      <c r="H29">
        <v>1.09586666667E-2</v>
      </c>
      <c r="I29">
        <v>1.0919E-2</v>
      </c>
      <c r="J29">
        <v>10368</v>
      </c>
      <c r="K29">
        <v>21025</v>
      </c>
      <c r="L29">
        <f t="shared" si="0"/>
        <v>1.0531442901234568E-6</v>
      </c>
    </row>
    <row r="30" spans="2:12" x14ac:dyDescent="0.25">
      <c r="B30">
        <v>3</v>
      </c>
      <c r="C30">
        <v>6</v>
      </c>
      <c r="D30" s="2">
        <v>25</v>
      </c>
      <c r="E30" t="s">
        <v>21</v>
      </c>
      <c r="F30" t="s">
        <v>22</v>
      </c>
      <c r="G30" s="2">
        <v>6</v>
      </c>
      <c r="H30">
        <v>1.8452E-2</v>
      </c>
      <c r="I30">
        <v>1.8395000000000002E-2</v>
      </c>
      <c r="J30">
        <v>5000</v>
      </c>
      <c r="K30">
        <v>22801</v>
      </c>
      <c r="L30">
        <f t="shared" si="0"/>
        <v>3.6790000000000003E-6</v>
      </c>
    </row>
    <row r="31" spans="2:12" x14ac:dyDescent="0.25">
      <c r="B31">
        <v>4</v>
      </c>
      <c r="C31">
        <v>6</v>
      </c>
      <c r="D31" s="2">
        <v>18</v>
      </c>
      <c r="E31" t="s">
        <v>21</v>
      </c>
      <c r="F31" t="s">
        <v>22</v>
      </c>
      <c r="G31" s="2">
        <v>8</v>
      </c>
      <c r="H31">
        <v>3.7764499999999999E-2</v>
      </c>
      <c r="I31">
        <v>3.7518000000000003E-2</v>
      </c>
      <c r="J31">
        <v>2592</v>
      </c>
      <c r="K31">
        <v>21025</v>
      </c>
      <c r="L31">
        <f t="shared" si="0"/>
        <v>1.4474537037037039E-5</v>
      </c>
    </row>
    <row r="32" spans="2:12" x14ac:dyDescent="0.25">
      <c r="B32">
        <v>5</v>
      </c>
      <c r="C32">
        <v>6</v>
      </c>
      <c r="D32" s="2">
        <v>15</v>
      </c>
      <c r="E32" t="s">
        <v>21</v>
      </c>
      <c r="F32" t="s">
        <v>22</v>
      </c>
      <c r="G32" s="2">
        <v>10</v>
      </c>
      <c r="H32">
        <v>9.3837333333299994E-2</v>
      </c>
      <c r="I32">
        <v>9.2424000000000006E-2</v>
      </c>
      <c r="J32">
        <v>1800</v>
      </c>
      <c r="K32">
        <v>22801</v>
      </c>
      <c r="L32">
        <f t="shared" si="0"/>
        <v>5.1346666666666667E-5</v>
      </c>
    </row>
    <row r="33" spans="2:12" x14ac:dyDescent="0.25">
      <c r="B33">
        <v>1</v>
      </c>
      <c r="C33">
        <v>6</v>
      </c>
      <c r="D33" s="2">
        <v>24</v>
      </c>
      <c r="E33" t="s">
        <v>23</v>
      </c>
      <c r="F33" t="s">
        <v>13</v>
      </c>
      <c r="G33" s="2">
        <v>1</v>
      </c>
      <c r="H33">
        <v>4.51615E-2</v>
      </c>
      <c r="I33">
        <v>4.5012999999999997E-2</v>
      </c>
      <c r="J33">
        <v>155664</v>
      </c>
      <c r="K33">
        <v>27672</v>
      </c>
      <c r="L33">
        <f t="shared" si="0"/>
        <v>2.8916769452153353E-7</v>
      </c>
    </row>
    <row r="34" spans="2:12" x14ac:dyDescent="0.25">
      <c r="B34">
        <v>2</v>
      </c>
      <c r="C34">
        <v>6</v>
      </c>
      <c r="D34" s="2">
        <v>12</v>
      </c>
      <c r="E34" t="s">
        <v>23</v>
      </c>
      <c r="F34" t="s">
        <v>13</v>
      </c>
      <c r="G34" s="2">
        <v>2</v>
      </c>
      <c r="H34">
        <v>2.9160333333299999E-2</v>
      </c>
      <c r="I34">
        <v>2.8891E-2</v>
      </c>
      <c r="J34">
        <v>18216</v>
      </c>
      <c r="K34">
        <v>25967</v>
      </c>
      <c r="L34">
        <f t="shared" si="0"/>
        <v>1.5860232762406676E-6</v>
      </c>
    </row>
    <row r="35" spans="2:12" x14ac:dyDescent="0.25">
      <c r="B35">
        <v>3</v>
      </c>
      <c r="C35">
        <v>6</v>
      </c>
      <c r="D35" s="2">
        <v>8</v>
      </c>
      <c r="E35" t="s">
        <v>23</v>
      </c>
      <c r="F35" t="s">
        <v>13</v>
      </c>
      <c r="G35" s="2">
        <v>3</v>
      </c>
      <c r="H35">
        <v>1.93476666667E-2</v>
      </c>
      <c r="I35">
        <v>1.9137999999999999E-2</v>
      </c>
      <c r="J35">
        <v>5040</v>
      </c>
      <c r="K35">
        <v>24310</v>
      </c>
      <c r="L35">
        <f t="shared" si="0"/>
        <v>3.7972222222222218E-6</v>
      </c>
    </row>
    <row r="36" spans="2:12" x14ac:dyDescent="0.25">
      <c r="B36">
        <v>4</v>
      </c>
      <c r="C36">
        <v>6</v>
      </c>
      <c r="D36" s="2">
        <v>6</v>
      </c>
      <c r="E36" t="s">
        <v>23</v>
      </c>
      <c r="F36" t="s">
        <v>13</v>
      </c>
      <c r="G36" s="2">
        <v>4</v>
      </c>
      <c r="H36">
        <v>3.2638500000000001E-2</v>
      </c>
      <c r="I36">
        <v>3.2592000000000003E-2</v>
      </c>
      <c r="J36">
        <v>1980</v>
      </c>
      <c r="K36">
        <v>22701</v>
      </c>
      <c r="L36">
        <f t="shared" si="0"/>
        <v>1.6460606060606061E-5</v>
      </c>
    </row>
    <row r="37" spans="2:12" x14ac:dyDescent="0.25">
      <c r="B37">
        <v>5</v>
      </c>
      <c r="C37">
        <v>6</v>
      </c>
      <c r="D37" s="2">
        <v>5</v>
      </c>
      <c r="E37" t="s">
        <v>23</v>
      </c>
      <c r="F37" t="s">
        <v>13</v>
      </c>
      <c r="G37" s="2">
        <v>5</v>
      </c>
      <c r="H37">
        <v>4.2460333333300002E-2</v>
      </c>
      <c r="I37">
        <v>4.2220000000000001E-2</v>
      </c>
      <c r="J37">
        <v>1080</v>
      </c>
      <c r="K37">
        <v>24171</v>
      </c>
      <c r="L37">
        <f t="shared" si="0"/>
        <v>3.9092592592592595E-5</v>
      </c>
    </row>
    <row r="38" spans="2:12" x14ac:dyDescent="0.25">
      <c r="B38">
        <v>1</v>
      </c>
      <c r="C38">
        <v>6</v>
      </c>
      <c r="D38" s="2">
        <v>24</v>
      </c>
      <c r="E38" t="s">
        <v>23</v>
      </c>
      <c r="F38" t="s">
        <v>0</v>
      </c>
      <c r="G38" s="2">
        <v>1</v>
      </c>
      <c r="H38">
        <v>2.36493333333E-2</v>
      </c>
      <c r="I38">
        <v>2.3262000000000001E-2</v>
      </c>
      <c r="J38">
        <v>155664</v>
      </c>
      <c r="K38">
        <v>27672</v>
      </c>
      <c r="L38">
        <f t="shared" si="0"/>
        <v>1.4943724946037619E-7</v>
      </c>
    </row>
    <row r="39" spans="2:12" x14ac:dyDescent="0.25">
      <c r="B39">
        <v>2</v>
      </c>
      <c r="C39">
        <v>6</v>
      </c>
      <c r="D39" s="2">
        <v>12</v>
      </c>
      <c r="E39" t="s">
        <v>23</v>
      </c>
      <c r="F39" t="s">
        <v>0</v>
      </c>
      <c r="G39" s="2">
        <v>2</v>
      </c>
      <c r="H39">
        <v>3.1748333333300001E-3</v>
      </c>
      <c r="I39">
        <v>3.1250000000000002E-3</v>
      </c>
      <c r="J39">
        <v>18216</v>
      </c>
      <c r="K39">
        <v>25967</v>
      </c>
      <c r="L39">
        <f t="shared" si="0"/>
        <v>1.7155248133509004E-7</v>
      </c>
    </row>
    <row r="40" spans="2:12" x14ac:dyDescent="0.25">
      <c r="B40">
        <v>3</v>
      </c>
      <c r="C40">
        <v>6</v>
      </c>
      <c r="D40" s="2">
        <v>8</v>
      </c>
      <c r="E40" t="s">
        <v>23</v>
      </c>
      <c r="F40" t="s">
        <v>0</v>
      </c>
      <c r="G40" s="2">
        <v>3</v>
      </c>
      <c r="H40">
        <v>1.2275000000000001E-3</v>
      </c>
      <c r="I40">
        <v>1.2160000000000001E-3</v>
      </c>
      <c r="J40">
        <v>5040</v>
      </c>
      <c r="K40">
        <v>24310</v>
      </c>
      <c r="L40">
        <f t="shared" si="0"/>
        <v>2.4126984126984129E-7</v>
      </c>
    </row>
    <row r="41" spans="2:12" x14ac:dyDescent="0.25">
      <c r="B41">
        <v>4</v>
      </c>
      <c r="C41">
        <v>6</v>
      </c>
      <c r="D41" s="2">
        <v>6</v>
      </c>
      <c r="E41" t="s">
        <v>23</v>
      </c>
      <c r="F41" t="s">
        <v>0</v>
      </c>
      <c r="G41" s="2">
        <v>4</v>
      </c>
      <c r="H41">
        <v>6.625E-4</v>
      </c>
      <c r="I41">
        <v>6.4400000000000004E-4</v>
      </c>
      <c r="J41">
        <v>1980</v>
      </c>
      <c r="K41">
        <v>22701</v>
      </c>
      <c r="L41">
        <f t="shared" si="0"/>
        <v>3.2525252525252528E-7</v>
      </c>
    </row>
    <row r="42" spans="2:12" x14ac:dyDescent="0.25">
      <c r="B42">
        <v>5</v>
      </c>
      <c r="C42">
        <v>6</v>
      </c>
      <c r="D42" s="2">
        <v>5</v>
      </c>
      <c r="E42" t="s">
        <v>23</v>
      </c>
      <c r="F42" t="s">
        <v>0</v>
      </c>
      <c r="G42" s="2">
        <v>5</v>
      </c>
      <c r="H42">
        <v>5.3216666666699997E-4</v>
      </c>
      <c r="I42">
        <v>4.9299999999999995E-4</v>
      </c>
      <c r="J42">
        <v>1080</v>
      </c>
      <c r="K42">
        <v>24171</v>
      </c>
      <c r="L42">
        <f t="shared" si="0"/>
        <v>4.5648148148148142E-7</v>
      </c>
    </row>
    <row r="43" spans="2:12" x14ac:dyDescent="0.25">
      <c r="B43">
        <v>2</v>
      </c>
      <c r="C43">
        <v>6</v>
      </c>
      <c r="D43" s="2">
        <v>12</v>
      </c>
      <c r="E43" t="s">
        <v>23</v>
      </c>
      <c r="F43" t="s">
        <v>22</v>
      </c>
      <c r="G43" s="2">
        <v>2</v>
      </c>
      <c r="H43">
        <v>5.3506833333300002E-2</v>
      </c>
      <c r="I43">
        <v>5.2227999999999997E-2</v>
      </c>
      <c r="J43">
        <v>18216</v>
      </c>
      <c r="K43">
        <v>25967</v>
      </c>
      <c r="L43">
        <f t="shared" si="0"/>
        <v>2.8671497584541061E-6</v>
      </c>
    </row>
    <row r="44" spans="2:12" x14ac:dyDescent="0.25">
      <c r="B44">
        <v>3</v>
      </c>
      <c r="C44">
        <v>6</v>
      </c>
      <c r="D44" s="2">
        <v>8</v>
      </c>
      <c r="E44" t="s">
        <v>23</v>
      </c>
      <c r="F44" t="s">
        <v>22</v>
      </c>
      <c r="G44" s="2">
        <v>3</v>
      </c>
      <c r="H44">
        <v>0.22187333333299999</v>
      </c>
      <c r="I44" s="3">
        <v>0.22009400000000001</v>
      </c>
      <c r="J44">
        <v>5040</v>
      </c>
      <c r="K44">
        <v>24310</v>
      </c>
      <c r="L44">
        <f t="shared" si="0"/>
        <v>4.3669444444444448E-5</v>
      </c>
    </row>
    <row r="45" spans="2:12" x14ac:dyDescent="0.25">
      <c r="B45">
        <v>1</v>
      </c>
      <c r="C45">
        <v>6</v>
      </c>
      <c r="D45" s="2">
        <v>72</v>
      </c>
      <c r="E45" t="s">
        <v>24</v>
      </c>
      <c r="F45" t="s">
        <v>13</v>
      </c>
      <c r="G45" s="2">
        <v>1</v>
      </c>
      <c r="H45">
        <v>2.85861666667E-2</v>
      </c>
      <c r="I45">
        <v>2.8398E-2</v>
      </c>
      <c r="J45">
        <v>41472</v>
      </c>
      <c r="K45">
        <v>21025</v>
      </c>
      <c r="L45">
        <f t="shared" si="0"/>
        <v>6.8475115740740744E-7</v>
      </c>
    </row>
    <row r="46" spans="2:12" x14ac:dyDescent="0.25">
      <c r="B46">
        <v>2</v>
      </c>
      <c r="C46">
        <v>6</v>
      </c>
      <c r="D46" s="2">
        <v>36</v>
      </c>
      <c r="E46" t="s">
        <v>24</v>
      </c>
      <c r="F46" t="s">
        <v>13</v>
      </c>
      <c r="G46" s="2">
        <v>2</v>
      </c>
      <c r="H46">
        <v>1.0503833333299999E-2</v>
      </c>
      <c r="I46">
        <v>1.0448000000000001E-2</v>
      </c>
      <c r="J46">
        <v>10368</v>
      </c>
      <c r="K46">
        <v>21025</v>
      </c>
      <c r="L46">
        <f t="shared" si="0"/>
        <v>1.0077160493827162E-6</v>
      </c>
    </row>
    <row r="47" spans="2:12" x14ac:dyDescent="0.25">
      <c r="B47">
        <v>3</v>
      </c>
      <c r="C47">
        <v>6</v>
      </c>
      <c r="D47" s="2">
        <v>25</v>
      </c>
      <c r="E47" t="s">
        <v>24</v>
      </c>
      <c r="F47" t="s">
        <v>13</v>
      </c>
      <c r="G47" s="2">
        <v>3</v>
      </c>
      <c r="H47">
        <v>8.8374999999999999E-3</v>
      </c>
      <c r="I47">
        <v>8.8059999999999996E-3</v>
      </c>
      <c r="J47">
        <v>5000</v>
      </c>
      <c r="K47">
        <v>22801</v>
      </c>
      <c r="L47">
        <f t="shared" si="0"/>
        <v>1.7612E-6</v>
      </c>
    </row>
    <row r="48" spans="2:12" x14ac:dyDescent="0.25">
      <c r="B48">
        <v>4</v>
      </c>
      <c r="C48">
        <v>6</v>
      </c>
      <c r="D48" s="2">
        <v>18</v>
      </c>
      <c r="E48" t="s">
        <v>24</v>
      </c>
      <c r="F48" t="s">
        <v>13</v>
      </c>
      <c r="G48" s="2">
        <v>4</v>
      </c>
      <c r="H48">
        <v>1.01225E-2</v>
      </c>
      <c r="I48">
        <v>9.9600000000000001E-3</v>
      </c>
      <c r="J48">
        <v>2592</v>
      </c>
      <c r="K48">
        <v>21025</v>
      </c>
      <c r="L48">
        <f t="shared" si="0"/>
        <v>3.8425925925925924E-6</v>
      </c>
    </row>
    <row r="49" spans="2:12" x14ac:dyDescent="0.25">
      <c r="B49">
        <v>5</v>
      </c>
      <c r="C49">
        <v>6</v>
      </c>
      <c r="D49" s="2">
        <v>15</v>
      </c>
      <c r="E49" t="s">
        <v>24</v>
      </c>
      <c r="F49" t="s">
        <v>13</v>
      </c>
      <c r="G49" s="2">
        <v>5</v>
      </c>
      <c r="H49">
        <v>1.25596666667E-2</v>
      </c>
      <c r="I49">
        <v>1.2526000000000001E-2</v>
      </c>
      <c r="J49">
        <v>1800</v>
      </c>
      <c r="K49">
        <v>22801</v>
      </c>
      <c r="L49">
        <f t="shared" si="0"/>
        <v>6.958888888888889E-6</v>
      </c>
    </row>
    <row r="50" spans="2:12" x14ac:dyDescent="0.25">
      <c r="B50">
        <v>1</v>
      </c>
      <c r="C50">
        <v>6</v>
      </c>
      <c r="D50" s="2">
        <v>72</v>
      </c>
      <c r="E50" t="s">
        <v>24</v>
      </c>
      <c r="F50" t="s">
        <v>0</v>
      </c>
      <c r="G50" s="2">
        <v>1</v>
      </c>
      <c r="H50">
        <v>2.65671666667E-2</v>
      </c>
      <c r="I50">
        <v>2.6405000000000001E-2</v>
      </c>
      <c r="J50">
        <v>41472</v>
      </c>
      <c r="K50">
        <v>21025</v>
      </c>
      <c r="L50">
        <f t="shared" si="0"/>
        <v>6.3669463734567902E-7</v>
      </c>
    </row>
    <row r="51" spans="2:12" x14ac:dyDescent="0.25">
      <c r="B51">
        <v>2</v>
      </c>
      <c r="C51">
        <v>6</v>
      </c>
      <c r="D51" s="2">
        <v>36</v>
      </c>
      <c r="E51" t="s">
        <v>24</v>
      </c>
      <c r="F51" t="s">
        <v>0</v>
      </c>
      <c r="G51" s="2">
        <v>2</v>
      </c>
      <c r="H51">
        <v>5.5834999999999999E-3</v>
      </c>
      <c r="I51">
        <v>5.5579999999999996E-3</v>
      </c>
      <c r="J51">
        <v>10368</v>
      </c>
      <c r="K51">
        <v>21025</v>
      </c>
      <c r="L51">
        <f t="shared" si="0"/>
        <v>5.3607253086419746E-7</v>
      </c>
    </row>
    <row r="52" spans="2:12" x14ac:dyDescent="0.25">
      <c r="B52">
        <v>3</v>
      </c>
      <c r="C52">
        <v>6</v>
      </c>
      <c r="D52" s="2">
        <v>25</v>
      </c>
      <c r="E52" t="s">
        <v>24</v>
      </c>
      <c r="F52" t="s">
        <v>0</v>
      </c>
      <c r="G52" s="2">
        <v>3</v>
      </c>
      <c r="H52">
        <v>2.7855000000000002E-3</v>
      </c>
      <c r="I52">
        <v>2.7569999999999999E-3</v>
      </c>
      <c r="J52">
        <v>5000</v>
      </c>
      <c r="K52">
        <v>22801</v>
      </c>
      <c r="L52">
        <f t="shared" si="0"/>
        <v>5.5140000000000003E-7</v>
      </c>
    </row>
    <row r="53" spans="2:12" x14ac:dyDescent="0.25">
      <c r="B53">
        <v>4</v>
      </c>
      <c r="C53">
        <v>6</v>
      </c>
      <c r="D53" s="2">
        <v>18</v>
      </c>
      <c r="E53" t="s">
        <v>24</v>
      </c>
      <c r="F53" t="s">
        <v>0</v>
      </c>
      <c r="G53" s="2">
        <v>4</v>
      </c>
      <c r="H53">
        <v>1.55033333333E-3</v>
      </c>
      <c r="I53">
        <v>1.4920000000000001E-3</v>
      </c>
      <c r="J53">
        <v>2592</v>
      </c>
      <c r="K53">
        <v>21025</v>
      </c>
      <c r="L53">
        <f t="shared" si="0"/>
        <v>5.756172839506173E-7</v>
      </c>
    </row>
    <row r="54" spans="2:12" x14ac:dyDescent="0.25">
      <c r="B54">
        <v>5</v>
      </c>
      <c r="C54">
        <v>6</v>
      </c>
      <c r="D54" s="2">
        <v>15</v>
      </c>
      <c r="E54" t="s">
        <v>24</v>
      </c>
      <c r="F54" t="s">
        <v>0</v>
      </c>
      <c r="G54" s="2">
        <v>5</v>
      </c>
      <c r="H54">
        <v>1.253E-3</v>
      </c>
      <c r="I54">
        <v>1.2279999999999999E-3</v>
      </c>
      <c r="J54">
        <v>1800</v>
      </c>
      <c r="K54">
        <v>22801</v>
      </c>
      <c r="L54">
        <f t="shared" si="0"/>
        <v>6.8222222222222221E-7</v>
      </c>
    </row>
    <row r="55" spans="2:12" x14ac:dyDescent="0.25">
      <c r="B55">
        <v>2</v>
      </c>
      <c r="C55">
        <v>6</v>
      </c>
      <c r="D55" s="2">
        <v>36</v>
      </c>
      <c r="E55" t="s">
        <v>24</v>
      </c>
      <c r="F55" t="s">
        <v>22</v>
      </c>
      <c r="G55" s="2">
        <v>2</v>
      </c>
      <c r="H55">
        <v>7.9078333333300003E-3</v>
      </c>
      <c r="I55">
        <v>7.8120000000000004E-3</v>
      </c>
      <c r="J55">
        <v>10368</v>
      </c>
      <c r="K55">
        <v>21025</v>
      </c>
      <c r="L55">
        <f t="shared" si="0"/>
        <v>7.5347222222222227E-7</v>
      </c>
    </row>
    <row r="56" spans="2:12" x14ac:dyDescent="0.25">
      <c r="B56">
        <v>3</v>
      </c>
      <c r="C56">
        <v>6</v>
      </c>
      <c r="D56" s="2">
        <v>25</v>
      </c>
      <c r="E56" t="s">
        <v>24</v>
      </c>
      <c r="F56" t="s">
        <v>22</v>
      </c>
      <c r="G56" s="2">
        <v>3</v>
      </c>
      <c r="H56">
        <v>7.6331666666699998E-3</v>
      </c>
      <c r="I56">
        <v>7.5709999999999996E-3</v>
      </c>
      <c r="J56">
        <v>5000</v>
      </c>
      <c r="K56">
        <v>22801</v>
      </c>
      <c r="L56">
        <f t="shared" si="0"/>
        <v>1.5141999999999998E-6</v>
      </c>
    </row>
    <row r="57" spans="2:12" x14ac:dyDescent="0.25">
      <c r="B57">
        <v>4</v>
      </c>
      <c r="C57">
        <v>6</v>
      </c>
      <c r="D57" s="2">
        <v>18</v>
      </c>
      <c r="E57" t="s">
        <v>24</v>
      </c>
      <c r="F57" t="s">
        <v>22</v>
      </c>
      <c r="G57" s="2">
        <v>4</v>
      </c>
      <c r="H57">
        <v>9.6663333333299999E-3</v>
      </c>
      <c r="I57">
        <v>9.4409999999999997E-3</v>
      </c>
      <c r="J57">
        <v>2592</v>
      </c>
      <c r="K57">
        <v>21025</v>
      </c>
      <c r="L57">
        <f t="shared" si="0"/>
        <v>3.6423611111111109E-6</v>
      </c>
    </row>
    <row r="58" spans="2:12" x14ac:dyDescent="0.25">
      <c r="B58">
        <v>5</v>
      </c>
      <c r="C58">
        <v>6</v>
      </c>
      <c r="D58" s="2">
        <v>15</v>
      </c>
      <c r="E58" t="s">
        <v>24</v>
      </c>
      <c r="F58" t="s">
        <v>22</v>
      </c>
      <c r="G58" s="2">
        <v>5</v>
      </c>
      <c r="H58">
        <v>1.6479833333300001E-2</v>
      </c>
      <c r="I58">
        <v>1.6230000000000001E-2</v>
      </c>
      <c r="J58">
        <v>1800</v>
      </c>
      <c r="K58">
        <v>22801</v>
      </c>
      <c r="L58">
        <f t="shared" si="0"/>
        <v>9.0166666666666679E-6</v>
      </c>
    </row>
    <row r="59" spans="2:12" x14ac:dyDescent="0.25">
      <c r="B59">
        <v>1</v>
      </c>
      <c r="C59">
        <v>6</v>
      </c>
      <c r="D59" s="2">
        <v>24</v>
      </c>
      <c r="E59" t="s">
        <v>14</v>
      </c>
      <c r="F59" t="s">
        <v>13</v>
      </c>
      <c r="G59" s="2">
        <v>1</v>
      </c>
      <c r="H59">
        <v>0.1179135</v>
      </c>
      <c r="I59">
        <v>0.117394</v>
      </c>
      <c r="J59">
        <v>155664</v>
      </c>
      <c r="K59">
        <v>27672</v>
      </c>
      <c r="L59">
        <f t="shared" si="0"/>
        <v>7.5414996402507968E-7</v>
      </c>
    </row>
    <row r="60" spans="2:12" x14ac:dyDescent="0.25">
      <c r="B60">
        <v>2</v>
      </c>
      <c r="C60">
        <v>6</v>
      </c>
      <c r="D60" s="2">
        <v>12</v>
      </c>
      <c r="E60" t="s">
        <v>14</v>
      </c>
      <c r="F60" t="s">
        <v>13</v>
      </c>
      <c r="G60" s="2">
        <v>2</v>
      </c>
      <c r="H60">
        <v>0.16760333333300001</v>
      </c>
      <c r="I60">
        <v>0.167133</v>
      </c>
      <c r="J60">
        <v>18216</v>
      </c>
      <c r="K60">
        <v>25967</v>
      </c>
      <c r="L60">
        <f t="shared" si="0"/>
        <v>9.1750658761528326E-6</v>
      </c>
    </row>
    <row r="61" spans="2:12" x14ac:dyDescent="0.25">
      <c r="B61">
        <v>3</v>
      </c>
      <c r="C61">
        <v>6</v>
      </c>
      <c r="D61" s="2">
        <v>8</v>
      </c>
      <c r="E61" t="s">
        <v>14</v>
      </c>
      <c r="F61" t="s">
        <v>13</v>
      </c>
      <c r="G61" s="2">
        <v>4</v>
      </c>
      <c r="H61">
        <v>0.41968966666700003</v>
      </c>
      <c r="I61">
        <v>0.41896299999999997</v>
      </c>
      <c r="J61">
        <v>5040</v>
      </c>
      <c r="K61">
        <v>24310</v>
      </c>
      <c r="L61">
        <f t="shared" si="0"/>
        <v>8.3127579365079355E-5</v>
      </c>
    </row>
    <row r="62" spans="2:12" x14ac:dyDescent="0.25">
      <c r="B62">
        <v>4</v>
      </c>
      <c r="C62">
        <v>6</v>
      </c>
      <c r="D62" s="2">
        <v>6</v>
      </c>
      <c r="E62" t="s">
        <v>14</v>
      </c>
      <c r="F62" t="s">
        <v>13</v>
      </c>
      <c r="G62" s="2">
        <v>6</v>
      </c>
      <c r="H62">
        <v>1.04912933333</v>
      </c>
      <c r="I62">
        <v>1.0480659999999999</v>
      </c>
      <c r="J62">
        <v>1980</v>
      </c>
      <c r="K62">
        <v>22701</v>
      </c>
      <c r="L62">
        <f t="shared" si="0"/>
        <v>5.2932626262626264E-4</v>
      </c>
    </row>
    <row r="63" spans="2:12" x14ac:dyDescent="0.25">
      <c r="B63">
        <v>5</v>
      </c>
      <c r="C63">
        <v>6</v>
      </c>
      <c r="D63" s="2">
        <v>5</v>
      </c>
      <c r="E63" t="s">
        <v>14</v>
      </c>
      <c r="F63" t="s">
        <v>13</v>
      </c>
      <c r="G63" s="2">
        <v>8</v>
      </c>
      <c r="H63">
        <v>2.8210481666699998</v>
      </c>
      <c r="I63">
        <v>2.808046</v>
      </c>
      <c r="J63">
        <v>1080</v>
      </c>
      <c r="K63">
        <v>24171</v>
      </c>
      <c r="L63">
        <f t="shared" si="0"/>
        <v>2.6000425925925925E-3</v>
      </c>
    </row>
    <row r="64" spans="2:12" x14ac:dyDescent="0.25">
      <c r="B64">
        <v>1</v>
      </c>
      <c r="C64">
        <v>6</v>
      </c>
      <c r="D64" s="2">
        <v>24</v>
      </c>
      <c r="E64" t="s">
        <v>14</v>
      </c>
      <c r="F64" t="s">
        <v>12</v>
      </c>
      <c r="G64" s="2">
        <v>1</v>
      </c>
      <c r="H64">
        <v>0.11605799999999999</v>
      </c>
      <c r="I64">
        <v>0.11558</v>
      </c>
      <c r="J64">
        <v>155664</v>
      </c>
      <c r="K64">
        <v>27672</v>
      </c>
      <c r="L64">
        <f t="shared" si="0"/>
        <v>7.4249665947168262E-7</v>
      </c>
    </row>
    <row r="65" spans="2:12" x14ac:dyDescent="0.25">
      <c r="B65">
        <v>2</v>
      </c>
      <c r="C65">
        <v>6</v>
      </c>
      <c r="D65" s="2">
        <v>12</v>
      </c>
      <c r="E65" t="s">
        <v>14</v>
      </c>
      <c r="F65" t="s">
        <v>12</v>
      </c>
      <c r="G65" s="2">
        <v>2</v>
      </c>
      <c r="H65">
        <v>0.32214683333299998</v>
      </c>
      <c r="I65">
        <v>0.31976700000000002</v>
      </c>
      <c r="J65">
        <v>18216</v>
      </c>
      <c r="K65">
        <v>25967</v>
      </c>
      <c r="L65">
        <f t="shared" si="0"/>
        <v>1.7554183135704875E-5</v>
      </c>
    </row>
    <row r="66" spans="2:12" x14ac:dyDescent="0.25">
      <c r="B66">
        <v>3</v>
      </c>
      <c r="C66">
        <v>6</v>
      </c>
      <c r="D66" s="2">
        <v>8</v>
      </c>
      <c r="E66" t="s">
        <v>14</v>
      </c>
      <c r="F66" t="s">
        <v>12</v>
      </c>
      <c r="G66" s="2">
        <v>4</v>
      </c>
      <c r="H66">
        <v>0.74926766666699995</v>
      </c>
      <c r="I66">
        <v>0.74688100000000002</v>
      </c>
      <c r="J66">
        <v>5040</v>
      </c>
      <c r="K66">
        <v>24310</v>
      </c>
      <c r="L66">
        <f t="shared" si="0"/>
        <v>1.4819067460317459E-4</v>
      </c>
    </row>
    <row r="67" spans="2:12" x14ac:dyDescent="0.25">
      <c r="B67">
        <v>4</v>
      </c>
      <c r="C67">
        <v>6</v>
      </c>
      <c r="D67" s="2">
        <v>6</v>
      </c>
      <c r="E67" t="s">
        <v>14</v>
      </c>
      <c r="F67" t="s">
        <v>12</v>
      </c>
      <c r="G67" s="2">
        <v>6</v>
      </c>
      <c r="H67">
        <v>1.8115798333299999</v>
      </c>
      <c r="I67">
        <v>1.7962450000000001</v>
      </c>
      <c r="J67">
        <v>1980</v>
      </c>
      <c r="K67">
        <v>22701</v>
      </c>
      <c r="L67">
        <f t="shared" si="0"/>
        <v>9.0719444444444452E-4</v>
      </c>
    </row>
    <row r="68" spans="2:12" x14ac:dyDescent="0.25">
      <c r="B68">
        <v>5</v>
      </c>
      <c r="C68">
        <v>6</v>
      </c>
      <c r="D68" s="2">
        <v>5</v>
      </c>
      <c r="E68" t="s">
        <v>14</v>
      </c>
      <c r="F68" t="s">
        <v>12</v>
      </c>
      <c r="G68" s="2">
        <v>8</v>
      </c>
      <c r="H68">
        <v>4.5696965000000001</v>
      </c>
      <c r="I68">
        <v>4.5081639999999998</v>
      </c>
      <c r="J68">
        <v>1080</v>
      </c>
      <c r="K68">
        <v>24171</v>
      </c>
      <c r="L68">
        <f t="shared" si="0"/>
        <v>4.1742259259259255E-3</v>
      </c>
    </row>
    <row r="69" spans="2:12" x14ac:dyDescent="0.25">
      <c r="B69">
        <v>1</v>
      </c>
      <c r="C69">
        <v>6</v>
      </c>
      <c r="D69" s="2">
        <v>24</v>
      </c>
      <c r="E69" t="s">
        <v>14</v>
      </c>
      <c r="F69" t="s">
        <v>0</v>
      </c>
      <c r="G69" s="2">
        <v>1</v>
      </c>
      <c r="H69">
        <v>0.118226666667</v>
      </c>
      <c r="I69">
        <v>0.117672</v>
      </c>
      <c r="J69">
        <v>155664</v>
      </c>
      <c r="K69">
        <v>27672</v>
      </c>
      <c r="L69">
        <f t="shared" si="0"/>
        <v>7.5593586185630584E-7</v>
      </c>
    </row>
    <row r="70" spans="2:12" x14ac:dyDescent="0.25">
      <c r="B70">
        <v>2</v>
      </c>
      <c r="C70">
        <v>6</v>
      </c>
      <c r="D70" s="2">
        <v>12</v>
      </c>
      <c r="E70" t="s">
        <v>14</v>
      </c>
      <c r="F70" t="s">
        <v>0</v>
      </c>
      <c r="G70" s="2">
        <v>2</v>
      </c>
      <c r="H70">
        <v>6.5852499999999994E-2</v>
      </c>
      <c r="I70">
        <v>5.8644000000000002E-2</v>
      </c>
      <c r="J70">
        <v>18216</v>
      </c>
      <c r="K70">
        <v>25967</v>
      </c>
      <c r="L70">
        <f t="shared" si="0"/>
        <v>3.2193675889328062E-6</v>
      </c>
    </row>
    <row r="71" spans="2:12" x14ac:dyDescent="0.25">
      <c r="B71">
        <v>3</v>
      </c>
      <c r="C71">
        <v>6</v>
      </c>
      <c r="D71" s="2">
        <v>8</v>
      </c>
      <c r="E71" t="s">
        <v>14</v>
      </c>
      <c r="F71" t="s">
        <v>0</v>
      </c>
      <c r="G71" s="2">
        <v>4</v>
      </c>
      <c r="H71">
        <v>5.83751666667E-2</v>
      </c>
      <c r="I71">
        <v>5.8175999999999999E-2</v>
      </c>
      <c r="J71">
        <v>5040</v>
      </c>
      <c r="K71">
        <v>24310</v>
      </c>
      <c r="L71">
        <f t="shared" ref="L71:L134" si="1">I71/J71</f>
        <v>1.1542857142857143E-5</v>
      </c>
    </row>
    <row r="72" spans="2:12" x14ac:dyDescent="0.25">
      <c r="B72">
        <v>4</v>
      </c>
      <c r="C72">
        <v>6</v>
      </c>
      <c r="D72" s="2">
        <v>6</v>
      </c>
      <c r="E72" t="s">
        <v>14</v>
      </c>
      <c r="F72" t="s">
        <v>0</v>
      </c>
      <c r="G72" s="2">
        <v>6</v>
      </c>
      <c r="H72">
        <v>7.0444999999999994E-2</v>
      </c>
      <c r="I72">
        <v>7.0313000000000001E-2</v>
      </c>
      <c r="J72">
        <v>1980</v>
      </c>
      <c r="K72">
        <v>22701</v>
      </c>
      <c r="L72">
        <f t="shared" si="1"/>
        <v>3.5511616161616161E-5</v>
      </c>
    </row>
    <row r="73" spans="2:12" x14ac:dyDescent="0.25">
      <c r="B73">
        <v>5</v>
      </c>
      <c r="C73">
        <v>6</v>
      </c>
      <c r="D73" s="2">
        <v>5</v>
      </c>
      <c r="E73" t="s">
        <v>14</v>
      </c>
      <c r="F73" t="s">
        <v>0</v>
      </c>
      <c r="G73" s="2">
        <v>8</v>
      </c>
      <c r="H73">
        <v>0.100364166667</v>
      </c>
      <c r="I73">
        <v>0.100267</v>
      </c>
      <c r="J73">
        <v>1080</v>
      </c>
      <c r="K73">
        <v>24171</v>
      </c>
      <c r="L73">
        <f t="shared" si="1"/>
        <v>9.2839814814814806E-5</v>
      </c>
    </row>
    <row r="74" spans="2:12" x14ac:dyDescent="0.25">
      <c r="B74">
        <v>1</v>
      </c>
      <c r="C74">
        <v>6</v>
      </c>
      <c r="D74" s="2">
        <v>24</v>
      </c>
      <c r="E74" t="s">
        <v>16</v>
      </c>
      <c r="F74" t="s">
        <v>13</v>
      </c>
      <c r="G74" s="2">
        <v>1</v>
      </c>
      <c r="H74">
        <v>5.8995499999999999E-2</v>
      </c>
      <c r="I74">
        <v>5.8702999999999998E-2</v>
      </c>
      <c r="J74">
        <v>155664</v>
      </c>
      <c r="K74">
        <v>27672</v>
      </c>
      <c r="L74">
        <f t="shared" si="1"/>
        <v>3.771135265700483E-7</v>
      </c>
    </row>
    <row r="75" spans="2:12" x14ac:dyDescent="0.25">
      <c r="B75">
        <v>2</v>
      </c>
      <c r="C75">
        <v>6</v>
      </c>
      <c r="D75" s="2">
        <v>12</v>
      </c>
      <c r="E75" t="s">
        <v>16</v>
      </c>
      <c r="F75" t="s">
        <v>13</v>
      </c>
      <c r="G75" s="2">
        <v>2</v>
      </c>
      <c r="H75">
        <v>4.5575666666700002E-2</v>
      </c>
      <c r="I75">
        <v>4.5511000000000003E-2</v>
      </c>
      <c r="J75">
        <v>18216</v>
      </c>
      <c r="K75">
        <v>25967</v>
      </c>
      <c r="L75">
        <f t="shared" si="1"/>
        <v>2.4984079929732106E-6</v>
      </c>
    </row>
    <row r="76" spans="2:12" x14ac:dyDescent="0.25">
      <c r="B76">
        <v>3</v>
      </c>
      <c r="C76">
        <v>6</v>
      </c>
      <c r="D76" s="2">
        <v>8</v>
      </c>
      <c r="E76" t="s">
        <v>16</v>
      </c>
      <c r="F76" t="s">
        <v>13</v>
      </c>
      <c r="G76" s="2">
        <v>4</v>
      </c>
      <c r="H76">
        <v>7.2795166666699995E-2</v>
      </c>
      <c r="I76">
        <v>7.2737999999999997E-2</v>
      </c>
      <c r="J76">
        <v>5040</v>
      </c>
      <c r="K76">
        <v>24310</v>
      </c>
      <c r="L76">
        <f t="shared" si="1"/>
        <v>1.4432142857142857E-5</v>
      </c>
    </row>
    <row r="77" spans="2:12" x14ac:dyDescent="0.25">
      <c r="B77">
        <v>4</v>
      </c>
      <c r="C77">
        <v>6</v>
      </c>
      <c r="D77" s="2">
        <v>6</v>
      </c>
      <c r="E77" t="s">
        <v>16</v>
      </c>
      <c r="F77" t="s">
        <v>13</v>
      </c>
      <c r="G77" s="2">
        <v>6</v>
      </c>
      <c r="H77">
        <v>0.14947666666699999</v>
      </c>
      <c r="I77">
        <v>0.147118</v>
      </c>
      <c r="J77">
        <v>1980</v>
      </c>
      <c r="K77">
        <v>22701</v>
      </c>
      <c r="L77">
        <f t="shared" si="1"/>
        <v>7.43020202020202E-5</v>
      </c>
    </row>
    <row r="78" spans="2:12" x14ac:dyDescent="0.25">
      <c r="B78">
        <v>5</v>
      </c>
      <c r="C78">
        <v>6</v>
      </c>
      <c r="D78" s="2">
        <v>5</v>
      </c>
      <c r="E78" t="s">
        <v>16</v>
      </c>
      <c r="F78" t="s">
        <v>13</v>
      </c>
      <c r="G78" s="2">
        <v>8</v>
      </c>
      <c r="H78">
        <v>0.33573116666699998</v>
      </c>
      <c r="I78">
        <v>0.32357399999999997</v>
      </c>
      <c r="J78">
        <v>1080</v>
      </c>
      <c r="K78">
        <v>24171</v>
      </c>
      <c r="L78">
        <f t="shared" si="1"/>
        <v>2.9960555555555554E-4</v>
      </c>
    </row>
    <row r="79" spans="2:12" x14ac:dyDescent="0.25">
      <c r="B79">
        <v>1</v>
      </c>
      <c r="C79">
        <v>6</v>
      </c>
      <c r="D79" s="2">
        <v>24</v>
      </c>
      <c r="E79" t="s">
        <v>16</v>
      </c>
      <c r="F79" t="s">
        <v>12</v>
      </c>
      <c r="G79" s="2">
        <v>1</v>
      </c>
      <c r="H79">
        <v>5.8871166666700003E-2</v>
      </c>
      <c r="I79">
        <v>5.8729000000000003E-2</v>
      </c>
      <c r="J79">
        <v>155664</v>
      </c>
      <c r="K79">
        <v>27672</v>
      </c>
      <c r="L79">
        <f t="shared" si="1"/>
        <v>3.7728055298591839E-7</v>
      </c>
    </row>
    <row r="80" spans="2:12" x14ac:dyDescent="0.25">
      <c r="B80">
        <v>2</v>
      </c>
      <c r="C80">
        <v>6</v>
      </c>
      <c r="D80" s="2">
        <v>12</v>
      </c>
      <c r="E80" t="s">
        <v>16</v>
      </c>
      <c r="F80" t="s">
        <v>12</v>
      </c>
      <c r="G80" s="2">
        <v>2</v>
      </c>
      <c r="H80">
        <v>7.3032E-2</v>
      </c>
      <c r="I80">
        <v>7.2832999999999995E-2</v>
      </c>
      <c r="J80">
        <v>18216</v>
      </c>
      <c r="K80">
        <v>25967</v>
      </c>
      <c r="L80">
        <f t="shared" si="1"/>
        <v>3.9982981993851555E-6</v>
      </c>
    </row>
    <row r="81" spans="2:12" x14ac:dyDescent="0.25">
      <c r="B81">
        <v>3</v>
      </c>
      <c r="C81">
        <v>6</v>
      </c>
      <c r="D81" s="2">
        <v>8</v>
      </c>
      <c r="E81" t="s">
        <v>16</v>
      </c>
      <c r="F81" t="s">
        <v>12</v>
      </c>
      <c r="G81" s="2">
        <v>4</v>
      </c>
      <c r="H81">
        <v>9.7669666666700003E-2</v>
      </c>
      <c r="I81">
        <v>9.7002000000000005E-2</v>
      </c>
      <c r="J81">
        <v>5040</v>
      </c>
      <c r="K81">
        <v>24310</v>
      </c>
      <c r="L81">
        <f t="shared" si="1"/>
        <v>1.9246428571428571E-5</v>
      </c>
    </row>
    <row r="82" spans="2:12" x14ac:dyDescent="0.25">
      <c r="B82">
        <v>4</v>
      </c>
      <c r="C82">
        <v>6</v>
      </c>
      <c r="D82" s="2">
        <v>6</v>
      </c>
      <c r="E82" t="s">
        <v>16</v>
      </c>
      <c r="F82" t="s">
        <v>12</v>
      </c>
      <c r="G82" s="2">
        <v>6</v>
      </c>
      <c r="H82">
        <v>0.16891700000000001</v>
      </c>
      <c r="I82">
        <v>0.16759499999999999</v>
      </c>
      <c r="J82">
        <v>1980</v>
      </c>
      <c r="K82">
        <v>22701</v>
      </c>
      <c r="L82">
        <f t="shared" si="1"/>
        <v>8.4643939393939395E-5</v>
      </c>
    </row>
    <row r="83" spans="2:12" x14ac:dyDescent="0.25">
      <c r="B83">
        <v>5</v>
      </c>
      <c r="C83">
        <v>6</v>
      </c>
      <c r="D83" s="2">
        <v>5</v>
      </c>
      <c r="E83" t="s">
        <v>16</v>
      </c>
      <c r="F83" t="s">
        <v>12</v>
      </c>
      <c r="G83" s="2">
        <v>8</v>
      </c>
      <c r="H83">
        <v>0.32313816666700002</v>
      </c>
      <c r="I83">
        <v>0.322602</v>
      </c>
      <c r="J83">
        <v>1080</v>
      </c>
      <c r="K83">
        <v>24171</v>
      </c>
      <c r="L83">
        <f t="shared" si="1"/>
        <v>2.9870555555555557E-4</v>
      </c>
    </row>
    <row r="84" spans="2:12" x14ac:dyDescent="0.25">
      <c r="B84">
        <v>1</v>
      </c>
      <c r="C84">
        <v>6</v>
      </c>
      <c r="D84" s="2">
        <v>24</v>
      </c>
      <c r="E84" t="s">
        <v>16</v>
      </c>
      <c r="F84" t="s">
        <v>0</v>
      </c>
      <c r="G84" s="2">
        <v>1</v>
      </c>
      <c r="H84">
        <v>5.8913E-2</v>
      </c>
      <c r="I84">
        <v>5.8741000000000002E-2</v>
      </c>
      <c r="J84">
        <v>155664</v>
      </c>
      <c r="K84">
        <v>27672</v>
      </c>
      <c r="L84">
        <f t="shared" si="1"/>
        <v>3.7735764210093537E-7</v>
      </c>
    </row>
    <row r="85" spans="2:12" x14ac:dyDescent="0.25">
      <c r="B85">
        <v>2</v>
      </c>
      <c r="C85">
        <v>6</v>
      </c>
      <c r="D85" s="2">
        <v>12</v>
      </c>
      <c r="E85" t="s">
        <v>16</v>
      </c>
      <c r="F85" t="s">
        <v>0</v>
      </c>
      <c r="G85" s="2">
        <v>2</v>
      </c>
      <c r="H85">
        <v>1.077E-2</v>
      </c>
      <c r="I85">
        <v>1.0714E-2</v>
      </c>
      <c r="J85">
        <v>18216</v>
      </c>
      <c r="K85">
        <v>25967</v>
      </c>
      <c r="L85">
        <f t="shared" si="1"/>
        <v>5.8816425120772949E-7</v>
      </c>
    </row>
    <row r="86" spans="2:12" x14ac:dyDescent="0.25">
      <c r="B86">
        <v>3</v>
      </c>
      <c r="C86">
        <v>6</v>
      </c>
      <c r="D86" s="2">
        <v>8</v>
      </c>
      <c r="E86" t="s">
        <v>16</v>
      </c>
      <c r="F86" t="s">
        <v>0</v>
      </c>
      <c r="G86" s="2">
        <v>4</v>
      </c>
      <c r="H86">
        <v>1.0141499999999999E-2</v>
      </c>
      <c r="I86">
        <v>9.9860000000000001E-3</v>
      </c>
      <c r="J86">
        <v>5040</v>
      </c>
      <c r="K86">
        <v>24310</v>
      </c>
      <c r="L86">
        <f t="shared" si="1"/>
        <v>1.9813492063492062E-6</v>
      </c>
    </row>
    <row r="87" spans="2:12" x14ac:dyDescent="0.25">
      <c r="B87">
        <v>4</v>
      </c>
      <c r="C87">
        <v>6</v>
      </c>
      <c r="D87" s="2">
        <v>6</v>
      </c>
      <c r="E87" t="s">
        <v>16</v>
      </c>
      <c r="F87" t="s">
        <v>0</v>
      </c>
      <c r="G87" s="2">
        <v>6</v>
      </c>
      <c r="H87">
        <v>6.7016666666699998E-3</v>
      </c>
      <c r="I87">
        <v>6.6730000000000001E-3</v>
      </c>
      <c r="J87">
        <v>1980</v>
      </c>
      <c r="K87">
        <v>22701</v>
      </c>
      <c r="L87">
        <f t="shared" si="1"/>
        <v>3.3702020202020204E-6</v>
      </c>
    </row>
    <row r="88" spans="2:12" x14ac:dyDescent="0.25">
      <c r="B88">
        <v>5</v>
      </c>
      <c r="C88">
        <v>6</v>
      </c>
      <c r="D88" s="2">
        <v>5</v>
      </c>
      <c r="E88" t="s">
        <v>16</v>
      </c>
      <c r="F88" t="s">
        <v>0</v>
      </c>
      <c r="G88" s="2">
        <v>8</v>
      </c>
      <c r="H88">
        <v>1.01626666667E-2</v>
      </c>
      <c r="I88">
        <v>8.6529999999999992E-3</v>
      </c>
      <c r="J88">
        <v>1080</v>
      </c>
      <c r="K88">
        <v>24171</v>
      </c>
      <c r="L88">
        <f t="shared" si="1"/>
        <v>8.0120370370370358E-6</v>
      </c>
    </row>
    <row r="89" spans="2:12" x14ac:dyDescent="0.25">
      <c r="B89">
        <v>1</v>
      </c>
      <c r="C89">
        <v>6</v>
      </c>
      <c r="D89" s="2">
        <v>24</v>
      </c>
      <c r="E89" t="s">
        <v>19</v>
      </c>
      <c r="F89" t="s">
        <v>13</v>
      </c>
      <c r="G89" s="2">
        <v>1</v>
      </c>
      <c r="H89">
        <v>5.8810333333299998E-2</v>
      </c>
      <c r="I89">
        <v>5.8671000000000001E-2</v>
      </c>
      <c r="J89">
        <v>155664</v>
      </c>
      <c r="K89">
        <v>27672</v>
      </c>
      <c r="L89">
        <f t="shared" si="1"/>
        <v>3.7690795559666975E-7</v>
      </c>
    </row>
    <row r="90" spans="2:12" x14ac:dyDescent="0.25">
      <c r="B90">
        <v>2</v>
      </c>
      <c r="C90">
        <v>6</v>
      </c>
      <c r="D90" s="2">
        <v>12</v>
      </c>
      <c r="E90" t="s">
        <v>19</v>
      </c>
      <c r="F90" t="s">
        <v>13</v>
      </c>
      <c r="G90" s="2">
        <v>2</v>
      </c>
      <c r="H90">
        <v>4.5124166666700001E-2</v>
      </c>
      <c r="I90">
        <v>4.5053000000000003E-2</v>
      </c>
      <c r="J90">
        <v>18216</v>
      </c>
      <c r="K90">
        <v>25967</v>
      </c>
      <c r="L90">
        <f t="shared" si="1"/>
        <v>2.4732652613087399E-6</v>
      </c>
    </row>
    <row r="91" spans="2:12" x14ac:dyDescent="0.25">
      <c r="B91">
        <v>3</v>
      </c>
      <c r="C91">
        <v>6</v>
      </c>
      <c r="D91" s="2">
        <v>8</v>
      </c>
      <c r="E91" t="s">
        <v>19</v>
      </c>
      <c r="F91" t="s">
        <v>13</v>
      </c>
      <c r="G91" s="2">
        <v>4</v>
      </c>
      <c r="H91">
        <v>7.5183666666699997E-2</v>
      </c>
      <c r="I91">
        <v>7.3779999999999998E-2</v>
      </c>
      <c r="J91">
        <v>5040</v>
      </c>
      <c r="K91">
        <v>24310</v>
      </c>
      <c r="L91">
        <f t="shared" si="1"/>
        <v>1.4638888888888889E-5</v>
      </c>
    </row>
    <row r="92" spans="2:12" x14ac:dyDescent="0.25">
      <c r="B92">
        <v>4</v>
      </c>
      <c r="C92">
        <v>6</v>
      </c>
      <c r="D92" s="2">
        <v>6</v>
      </c>
      <c r="E92" t="s">
        <v>19</v>
      </c>
      <c r="F92" t="s">
        <v>13</v>
      </c>
      <c r="G92" s="2">
        <v>6</v>
      </c>
      <c r="H92">
        <v>0.14557149999999999</v>
      </c>
      <c r="I92">
        <v>0.14526900000000001</v>
      </c>
      <c r="J92">
        <v>1980</v>
      </c>
      <c r="K92">
        <v>22701</v>
      </c>
      <c r="L92">
        <f t="shared" si="1"/>
        <v>7.3368181818181827E-5</v>
      </c>
    </row>
    <row r="93" spans="2:12" x14ac:dyDescent="0.25">
      <c r="B93">
        <v>5</v>
      </c>
      <c r="C93">
        <v>6</v>
      </c>
      <c r="D93" s="2">
        <v>5</v>
      </c>
      <c r="E93" t="s">
        <v>19</v>
      </c>
      <c r="F93" t="s">
        <v>13</v>
      </c>
      <c r="G93" s="2">
        <v>8</v>
      </c>
      <c r="H93">
        <v>0.32449366666700002</v>
      </c>
      <c r="I93">
        <v>0.32315899999999997</v>
      </c>
      <c r="J93">
        <v>1080</v>
      </c>
      <c r="K93">
        <v>24171</v>
      </c>
      <c r="L93">
        <f t="shared" si="1"/>
        <v>2.9922129629629627E-4</v>
      </c>
    </row>
    <row r="94" spans="2:12" x14ac:dyDescent="0.25">
      <c r="B94">
        <v>1</v>
      </c>
      <c r="C94">
        <v>6</v>
      </c>
      <c r="D94" s="2">
        <v>24</v>
      </c>
      <c r="E94" t="s">
        <v>19</v>
      </c>
      <c r="F94" t="s">
        <v>12</v>
      </c>
      <c r="G94" s="2">
        <v>1</v>
      </c>
      <c r="H94">
        <v>5.9016833333300003E-2</v>
      </c>
      <c r="I94">
        <v>5.8897999999999999E-2</v>
      </c>
      <c r="J94">
        <v>155664</v>
      </c>
      <c r="K94">
        <v>27672</v>
      </c>
      <c r="L94">
        <f t="shared" si="1"/>
        <v>3.7836622468907388E-7</v>
      </c>
    </row>
    <row r="95" spans="2:12" x14ac:dyDescent="0.25">
      <c r="B95">
        <v>2</v>
      </c>
      <c r="C95">
        <v>6</v>
      </c>
      <c r="D95" s="2">
        <v>12</v>
      </c>
      <c r="E95" t="s">
        <v>19</v>
      </c>
      <c r="F95" t="s">
        <v>12</v>
      </c>
      <c r="G95" s="2">
        <v>2</v>
      </c>
      <c r="H95">
        <v>0.105900666667</v>
      </c>
      <c r="I95">
        <v>7.3255000000000001E-2</v>
      </c>
      <c r="J95">
        <v>18216</v>
      </c>
      <c r="K95">
        <v>25967</v>
      </c>
      <c r="L95">
        <f t="shared" si="1"/>
        <v>4.0214646464646461E-6</v>
      </c>
    </row>
    <row r="96" spans="2:12" x14ac:dyDescent="0.25">
      <c r="B96">
        <v>3</v>
      </c>
      <c r="C96">
        <v>6</v>
      </c>
      <c r="D96" s="2">
        <v>8</v>
      </c>
      <c r="E96" t="s">
        <v>19</v>
      </c>
      <c r="F96" t="s">
        <v>12</v>
      </c>
      <c r="G96" s="2">
        <v>4</v>
      </c>
      <c r="H96">
        <v>9.7789833333300005E-2</v>
      </c>
      <c r="I96">
        <v>9.7387000000000001E-2</v>
      </c>
      <c r="J96">
        <v>5040</v>
      </c>
      <c r="K96">
        <v>24310</v>
      </c>
      <c r="L96">
        <f t="shared" si="1"/>
        <v>1.932281746031746E-5</v>
      </c>
    </row>
    <row r="97" spans="2:12" x14ac:dyDescent="0.25">
      <c r="B97">
        <v>4</v>
      </c>
      <c r="C97">
        <v>6</v>
      </c>
      <c r="D97" s="2">
        <v>6</v>
      </c>
      <c r="E97" t="s">
        <v>19</v>
      </c>
      <c r="F97" t="s">
        <v>12</v>
      </c>
      <c r="G97" s="2">
        <v>6</v>
      </c>
      <c r="H97">
        <v>0.16920266666700001</v>
      </c>
      <c r="I97">
        <v>0.16791900000000001</v>
      </c>
      <c r="J97">
        <v>1980</v>
      </c>
      <c r="K97">
        <v>22701</v>
      </c>
      <c r="L97">
        <f t="shared" si="1"/>
        <v>8.4807575757575761E-5</v>
      </c>
    </row>
    <row r="98" spans="2:12" x14ac:dyDescent="0.25">
      <c r="B98">
        <v>5</v>
      </c>
      <c r="C98">
        <v>6</v>
      </c>
      <c r="D98" s="2">
        <v>5</v>
      </c>
      <c r="E98" t="s">
        <v>19</v>
      </c>
      <c r="F98" t="s">
        <v>12</v>
      </c>
      <c r="G98" s="2">
        <v>8</v>
      </c>
      <c r="H98">
        <v>0.324610833333</v>
      </c>
      <c r="I98">
        <v>0.32315199999999999</v>
      </c>
      <c r="J98">
        <v>1080</v>
      </c>
      <c r="K98">
        <v>24171</v>
      </c>
      <c r="L98">
        <f t="shared" si="1"/>
        <v>2.9921481481481481E-4</v>
      </c>
    </row>
    <row r="99" spans="2:12" x14ac:dyDescent="0.25">
      <c r="B99">
        <v>1</v>
      </c>
      <c r="C99">
        <v>6</v>
      </c>
      <c r="D99" s="2">
        <v>72</v>
      </c>
      <c r="E99" t="s">
        <v>17</v>
      </c>
      <c r="F99" t="s">
        <v>13</v>
      </c>
      <c r="G99" s="2">
        <v>1</v>
      </c>
      <c r="H99">
        <v>1.5537666666699999E-2</v>
      </c>
      <c r="I99">
        <v>1.5455999999999999E-2</v>
      </c>
      <c r="J99">
        <v>41472</v>
      </c>
      <c r="K99">
        <v>21025</v>
      </c>
      <c r="L99">
        <f t="shared" si="1"/>
        <v>3.7268518518518516E-7</v>
      </c>
    </row>
    <row r="100" spans="2:12" x14ac:dyDescent="0.25">
      <c r="B100">
        <v>1</v>
      </c>
      <c r="C100">
        <v>6</v>
      </c>
      <c r="D100" s="2">
        <v>24</v>
      </c>
      <c r="E100" t="s">
        <v>19</v>
      </c>
      <c r="F100" t="s">
        <v>0</v>
      </c>
      <c r="G100" s="2">
        <v>1</v>
      </c>
      <c r="H100">
        <v>6.1740999999999997E-2</v>
      </c>
      <c r="I100">
        <v>6.1609999999999998E-2</v>
      </c>
      <c r="J100">
        <v>155664</v>
      </c>
      <c r="K100">
        <v>27672</v>
      </c>
      <c r="L100">
        <f t="shared" si="1"/>
        <v>3.9578836468290678E-7</v>
      </c>
    </row>
    <row r="101" spans="2:12" x14ac:dyDescent="0.25">
      <c r="B101">
        <v>2</v>
      </c>
      <c r="C101">
        <v>6</v>
      </c>
      <c r="D101" s="2">
        <v>12</v>
      </c>
      <c r="E101" t="s">
        <v>19</v>
      </c>
      <c r="F101" t="s">
        <v>0</v>
      </c>
      <c r="G101" s="2">
        <v>2</v>
      </c>
      <c r="H101">
        <v>1.0772E-2</v>
      </c>
      <c r="I101">
        <v>1.0722000000000001E-2</v>
      </c>
      <c r="J101">
        <v>18216</v>
      </c>
      <c r="K101">
        <v>25967</v>
      </c>
      <c r="L101">
        <f t="shared" si="1"/>
        <v>5.8860342555994733E-7</v>
      </c>
    </row>
    <row r="102" spans="2:12" x14ac:dyDescent="0.25">
      <c r="B102">
        <v>3</v>
      </c>
      <c r="C102">
        <v>6</v>
      </c>
      <c r="D102" s="2">
        <v>8</v>
      </c>
      <c r="E102" t="s">
        <v>19</v>
      </c>
      <c r="F102" t="s">
        <v>0</v>
      </c>
      <c r="G102" s="2">
        <v>4</v>
      </c>
      <c r="H102">
        <v>7.1104999999999996E-3</v>
      </c>
      <c r="I102">
        <v>7.0070000000000002E-3</v>
      </c>
      <c r="J102">
        <v>5040</v>
      </c>
      <c r="K102">
        <v>24310</v>
      </c>
      <c r="L102">
        <f t="shared" si="1"/>
        <v>1.3902777777777779E-6</v>
      </c>
    </row>
    <row r="103" spans="2:12" x14ac:dyDescent="0.25">
      <c r="B103">
        <v>4</v>
      </c>
      <c r="C103">
        <v>6</v>
      </c>
      <c r="D103" s="2">
        <v>6</v>
      </c>
      <c r="E103" t="s">
        <v>19</v>
      </c>
      <c r="F103" t="s">
        <v>0</v>
      </c>
      <c r="G103" s="2">
        <v>6</v>
      </c>
      <c r="H103">
        <v>7.0026666666699999E-3</v>
      </c>
      <c r="I103">
        <v>6.9519999999999998E-3</v>
      </c>
      <c r="J103">
        <v>1980</v>
      </c>
      <c r="K103">
        <v>22701</v>
      </c>
      <c r="L103">
        <f t="shared" si="1"/>
        <v>3.5111111111111111E-6</v>
      </c>
    </row>
    <row r="104" spans="2:12" x14ac:dyDescent="0.25">
      <c r="B104">
        <v>5</v>
      </c>
      <c r="C104">
        <v>6</v>
      </c>
      <c r="D104" s="2">
        <v>5</v>
      </c>
      <c r="E104" t="s">
        <v>19</v>
      </c>
      <c r="F104" t="s">
        <v>0</v>
      </c>
      <c r="G104" s="2">
        <v>8</v>
      </c>
      <c r="H104">
        <v>8.9396666666699993E-3</v>
      </c>
      <c r="I104">
        <v>8.7119999999999993E-3</v>
      </c>
      <c r="J104">
        <v>1080</v>
      </c>
      <c r="K104">
        <v>24171</v>
      </c>
      <c r="L104">
        <f t="shared" si="1"/>
        <v>8.0666666666666668E-6</v>
      </c>
    </row>
    <row r="105" spans="2:12" x14ac:dyDescent="0.25">
      <c r="B105">
        <v>2</v>
      </c>
      <c r="C105">
        <v>6</v>
      </c>
      <c r="D105" s="2">
        <v>36</v>
      </c>
      <c r="E105" t="s">
        <v>17</v>
      </c>
      <c r="F105" t="s">
        <v>13</v>
      </c>
      <c r="G105" s="2">
        <v>2</v>
      </c>
      <c r="H105">
        <v>1.7615666666699999E-2</v>
      </c>
      <c r="I105">
        <v>1.7545999999999999E-2</v>
      </c>
      <c r="J105">
        <v>10368</v>
      </c>
      <c r="K105">
        <v>21025</v>
      </c>
      <c r="L105">
        <f t="shared" si="1"/>
        <v>1.6923225308641975E-6</v>
      </c>
    </row>
    <row r="106" spans="2:12" x14ac:dyDescent="0.25">
      <c r="B106">
        <v>3</v>
      </c>
      <c r="C106">
        <v>6</v>
      </c>
      <c r="D106" s="2">
        <v>25</v>
      </c>
      <c r="E106" t="s">
        <v>17</v>
      </c>
      <c r="F106" t="s">
        <v>13</v>
      </c>
      <c r="G106" s="2">
        <v>4</v>
      </c>
      <c r="H106">
        <v>3.1561666666700003E-2</v>
      </c>
      <c r="I106">
        <v>3.1424000000000001E-2</v>
      </c>
      <c r="J106">
        <v>5000</v>
      </c>
      <c r="K106">
        <v>22801</v>
      </c>
      <c r="L106">
        <f t="shared" si="1"/>
        <v>6.2848000000000004E-6</v>
      </c>
    </row>
    <row r="107" spans="2:12" x14ac:dyDescent="0.25">
      <c r="B107">
        <v>4</v>
      </c>
      <c r="C107">
        <v>6</v>
      </c>
      <c r="D107" s="2">
        <v>18</v>
      </c>
      <c r="E107" t="s">
        <v>17</v>
      </c>
      <c r="F107" t="s">
        <v>13</v>
      </c>
      <c r="G107" s="2">
        <v>6</v>
      </c>
      <c r="H107">
        <v>5.8540666666699999E-2</v>
      </c>
      <c r="I107">
        <v>5.8396000000000003E-2</v>
      </c>
      <c r="J107">
        <v>2592</v>
      </c>
      <c r="K107">
        <v>21025</v>
      </c>
      <c r="L107">
        <f t="shared" si="1"/>
        <v>2.2529320987654321E-5</v>
      </c>
    </row>
    <row r="108" spans="2:12" x14ac:dyDescent="0.25">
      <c r="B108">
        <v>5</v>
      </c>
      <c r="C108">
        <v>6</v>
      </c>
      <c r="D108" s="2">
        <v>15</v>
      </c>
      <c r="E108" t="s">
        <v>17</v>
      </c>
      <c r="F108" t="s">
        <v>13</v>
      </c>
      <c r="G108" s="2">
        <v>8</v>
      </c>
      <c r="H108">
        <v>0.10582366666699999</v>
      </c>
      <c r="I108">
        <v>0.105166</v>
      </c>
      <c r="J108">
        <v>1800</v>
      </c>
      <c r="K108">
        <v>22801</v>
      </c>
      <c r="L108">
        <f t="shared" si="1"/>
        <v>5.8425555555555556E-5</v>
      </c>
    </row>
    <row r="109" spans="2:12" x14ac:dyDescent="0.25">
      <c r="B109">
        <v>1</v>
      </c>
      <c r="C109">
        <v>6</v>
      </c>
      <c r="D109" s="2">
        <v>72</v>
      </c>
      <c r="E109" t="s">
        <v>17</v>
      </c>
      <c r="F109" t="s">
        <v>12</v>
      </c>
      <c r="G109" s="2">
        <v>1</v>
      </c>
      <c r="H109">
        <v>1.75993333333E-2</v>
      </c>
      <c r="I109">
        <v>1.5942000000000001E-2</v>
      </c>
      <c r="J109">
        <v>41472</v>
      </c>
      <c r="K109">
        <v>21025</v>
      </c>
      <c r="L109">
        <f t="shared" si="1"/>
        <v>3.8440393518518523E-7</v>
      </c>
    </row>
    <row r="110" spans="2:12" x14ac:dyDescent="0.25">
      <c r="B110">
        <v>2</v>
      </c>
      <c r="C110">
        <v>6</v>
      </c>
      <c r="D110" s="2">
        <v>36</v>
      </c>
      <c r="E110" t="s">
        <v>17</v>
      </c>
      <c r="F110" t="s">
        <v>12</v>
      </c>
      <c r="G110" s="2">
        <v>2</v>
      </c>
      <c r="H110">
        <v>2.7557166666699998E-2</v>
      </c>
      <c r="I110">
        <v>2.7428999999999999E-2</v>
      </c>
      <c r="J110">
        <v>10368</v>
      </c>
      <c r="K110">
        <v>21025</v>
      </c>
      <c r="L110">
        <f t="shared" si="1"/>
        <v>2.6455439814814812E-6</v>
      </c>
    </row>
    <row r="111" spans="2:12" x14ac:dyDescent="0.25">
      <c r="B111">
        <v>3</v>
      </c>
      <c r="C111">
        <v>6</v>
      </c>
      <c r="D111" s="2">
        <v>25</v>
      </c>
      <c r="E111" t="s">
        <v>17</v>
      </c>
      <c r="F111" t="s">
        <v>12</v>
      </c>
      <c r="G111" s="2">
        <v>4</v>
      </c>
      <c r="H111">
        <v>4.7042333333299997E-2</v>
      </c>
      <c r="I111">
        <v>4.4124999999999998E-2</v>
      </c>
      <c r="J111">
        <v>5000</v>
      </c>
      <c r="K111">
        <v>22801</v>
      </c>
      <c r="L111">
        <f t="shared" si="1"/>
        <v>8.8249999999999994E-6</v>
      </c>
    </row>
    <row r="112" spans="2:12" x14ac:dyDescent="0.25">
      <c r="B112">
        <v>4</v>
      </c>
      <c r="C112">
        <v>6</v>
      </c>
      <c r="D112" s="2">
        <v>18</v>
      </c>
      <c r="E112" t="s">
        <v>17</v>
      </c>
      <c r="F112" t="s">
        <v>12</v>
      </c>
      <c r="G112" s="2">
        <v>6</v>
      </c>
      <c r="H112">
        <v>7.2705500000000006E-2</v>
      </c>
      <c r="I112">
        <v>7.2167999999999996E-2</v>
      </c>
      <c r="J112">
        <v>2592</v>
      </c>
      <c r="K112">
        <v>21025</v>
      </c>
      <c r="L112">
        <f t="shared" si="1"/>
        <v>2.784259259259259E-5</v>
      </c>
    </row>
    <row r="113" spans="2:12" x14ac:dyDescent="0.25">
      <c r="B113">
        <v>5</v>
      </c>
      <c r="C113">
        <v>6</v>
      </c>
      <c r="D113" s="2">
        <v>15</v>
      </c>
      <c r="E113" t="s">
        <v>17</v>
      </c>
      <c r="F113" t="s">
        <v>12</v>
      </c>
      <c r="G113" s="2">
        <v>8</v>
      </c>
      <c r="H113">
        <v>0.117611666667</v>
      </c>
      <c r="I113">
        <v>0.116698</v>
      </c>
      <c r="J113">
        <v>1800</v>
      </c>
      <c r="K113">
        <v>22801</v>
      </c>
      <c r="L113">
        <f t="shared" si="1"/>
        <v>6.4832222222222224E-5</v>
      </c>
    </row>
    <row r="114" spans="2:12" x14ac:dyDescent="0.25">
      <c r="B114">
        <v>1</v>
      </c>
      <c r="C114">
        <v>6</v>
      </c>
      <c r="D114" s="2">
        <v>72</v>
      </c>
      <c r="E114" t="s">
        <v>17</v>
      </c>
      <c r="F114" t="s">
        <v>0</v>
      </c>
      <c r="G114" s="2">
        <v>1</v>
      </c>
      <c r="H114">
        <v>1.5933166666699999E-2</v>
      </c>
      <c r="I114">
        <v>1.5493E-2</v>
      </c>
      <c r="J114">
        <v>41472</v>
      </c>
      <c r="K114">
        <v>21025</v>
      </c>
      <c r="L114">
        <f t="shared" si="1"/>
        <v>3.7357735339506175E-7</v>
      </c>
    </row>
    <row r="115" spans="2:12" x14ac:dyDescent="0.25">
      <c r="B115">
        <v>2</v>
      </c>
      <c r="C115">
        <v>6</v>
      </c>
      <c r="D115" s="2">
        <v>36</v>
      </c>
      <c r="E115" t="s">
        <v>17</v>
      </c>
      <c r="F115" t="s">
        <v>0</v>
      </c>
      <c r="G115" s="2">
        <v>2</v>
      </c>
      <c r="H115">
        <v>6.8531666666700004E-3</v>
      </c>
      <c r="I115">
        <v>6.816E-3</v>
      </c>
      <c r="J115">
        <v>10368</v>
      </c>
      <c r="K115">
        <v>21025</v>
      </c>
      <c r="L115">
        <f t="shared" si="1"/>
        <v>6.5740740740740741E-7</v>
      </c>
    </row>
    <row r="116" spans="2:12" x14ac:dyDescent="0.25">
      <c r="B116">
        <v>3</v>
      </c>
      <c r="C116">
        <v>6</v>
      </c>
      <c r="D116" s="2">
        <v>25</v>
      </c>
      <c r="E116" t="s">
        <v>17</v>
      </c>
      <c r="F116" t="s">
        <v>0</v>
      </c>
      <c r="G116" s="2">
        <v>4</v>
      </c>
      <c r="H116">
        <v>7.35316666667E-3</v>
      </c>
      <c r="I116">
        <v>7.3159999999999996E-3</v>
      </c>
      <c r="J116">
        <v>5000</v>
      </c>
      <c r="K116">
        <v>22801</v>
      </c>
      <c r="L116">
        <f t="shared" si="1"/>
        <v>1.4631999999999998E-6</v>
      </c>
    </row>
    <row r="117" spans="2:12" x14ac:dyDescent="0.25">
      <c r="B117">
        <v>4</v>
      </c>
      <c r="C117">
        <v>6</v>
      </c>
      <c r="D117" s="2">
        <v>18</v>
      </c>
      <c r="E117" t="s">
        <v>17</v>
      </c>
      <c r="F117" t="s">
        <v>0</v>
      </c>
      <c r="G117" s="2">
        <v>6</v>
      </c>
      <c r="H117">
        <v>7.3133333333299999E-3</v>
      </c>
      <c r="I117">
        <v>7.2560000000000003E-3</v>
      </c>
      <c r="J117">
        <v>2592</v>
      </c>
      <c r="K117">
        <v>21025</v>
      </c>
      <c r="L117">
        <f t="shared" si="1"/>
        <v>2.7993827160493827E-6</v>
      </c>
    </row>
    <row r="118" spans="2:12" x14ac:dyDescent="0.25">
      <c r="B118">
        <v>5</v>
      </c>
      <c r="C118">
        <v>6</v>
      </c>
      <c r="D118" s="2">
        <v>15</v>
      </c>
      <c r="E118" t="s">
        <v>17</v>
      </c>
      <c r="F118" t="s">
        <v>0</v>
      </c>
      <c r="G118" s="2">
        <v>8</v>
      </c>
      <c r="H118">
        <v>9.8616666666700003E-3</v>
      </c>
      <c r="I118">
        <v>9.8080000000000007E-3</v>
      </c>
      <c r="J118">
        <v>1800</v>
      </c>
      <c r="K118">
        <v>22801</v>
      </c>
    </row>
    <row r="119" spans="2:12" x14ac:dyDescent="0.25">
      <c r="B119">
        <v>1</v>
      </c>
      <c r="C119">
        <v>6</v>
      </c>
      <c r="D119" s="2">
        <v>72</v>
      </c>
      <c r="E119" t="s">
        <v>15</v>
      </c>
      <c r="F119" t="s">
        <v>13</v>
      </c>
      <c r="G119" s="2">
        <v>1</v>
      </c>
      <c r="H119">
        <v>1.66515E-2</v>
      </c>
      <c r="I119">
        <v>1.5129E-2</v>
      </c>
      <c r="J119">
        <v>41472</v>
      </c>
      <c r="K119">
        <v>21025</v>
      </c>
    </row>
    <row r="120" spans="2:12" x14ac:dyDescent="0.25">
      <c r="B120">
        <v>2</v>
      </c>
      <c r="C120">
        <v>6</v>
      </c>
      <c r="D120" s="2">
        <v>36</v>
      </c>
      <c r="E120" t="s">
        <v>15</v>
      </c>
      <c r="F120" t="s">
        <v>13</v>
      </c>
      <c r="G120" s="2">
        <v>2</v>
      </c>
      <c r="H120">
        <v>1.0240166666699999E-2</v>
      </c>
      <c r="I120">
        <v>1.0168E-2</v>
      </c>
      <c r="J120">
        <v>10368</v>
      </c>
      <c r="K120">
        <v>21025</v>
      </c>
    </row>
    <row r="121" spans="2:12" x14ac:dyDescent="0.25">
      <c r="B121">
        <v>3</v>
      </c>
      <c r="C121">
        <v>6</v>
      </c>
      <c r="D121" s="2">
        <v>25</v>
      </c>
      <c r="E121" t="s">
        <v>15</v>
      </c>
      <c r="F121" t="s">
        <v>13</v>
      </c>
      <c r="G121" s="2">
        <v>4</v>
      </c>
      <c r="H121">
        <v>1.43461666667E-2</v>
      </c>
      <c r="I121">
        <v>1.4337000000000001E-2</v>
      </c>
      <c r="J121">
        <v>5000</v>
      </c>
      <c r="K121">
        <v>22801</v>
      </c>
    </row>
    <row r="122" spans="2:12" x14ac:dyDescent="0.25">
      <c r="B122">
        <v>4</v>
      </c>
      <c r="C122">
        <v>6</v>
      </c>
      <c r="D122" s="2">
        <v>18</v>
      </c>
      <c r="E122" t="s">
        <v>15</v>
      </c>
      <c r="F122" t="s">
        <v>13</v>
      </c>
      <c r="G122" s="2">
        <v>6</v>
      </c>
      <c r="H122">
        <v>2.4293499999999999E-2</v>
      </c>
      <c r="I122">
        <v>2.4112999999999999E-2</v>
      </c>
      <c r="J122">
        <v>2592</v>
      </c>
      <c r="K122">
        <v>21025</v>
      </c>
    </row>
    <row r="123" spans="2:12" x14ac:dyDescent="0.25">
      <c r="B123">
        <v>5</v>
      </c>
      <c r="C123">
        <v>6</v>
      </c>
      <c r="D123" s="2">
        <v>15</v>
      </c>
      <c r="E123" t="s">
        <v>15</v>
      </c>
      <c r="F123" t="s">
        <v>13</v>
      </c>
      <c r="G123" s="2">
        <v>8</v>
      </c>
      <c r="H123">
        <v>3.7019833333300001E-2</v>
      </c>
      <c r="I123">
        <v>3.6986999999999999E-2</v>
      </c>
      <c r="J123">
        <v>1800</v>
      </c>
      <c r="K123">
        <v>22801</v>
      </c>
    </row>
    <row r="124" spans="2:12" x14ac:dyDescent="0.25">
      <c r="B124">
        <v>1</v>
      </c>
      <c r="C124">
        <v>6</v>
      </c>
      <c r="D124" s="2">
        <v>72</v>
      </c>
      <c r="E124" t="s">
        <v>15</v>
      </c>
      <c r="F124" t="s">
        <v>12</v>
      </c>
      <c r="G124" s="2">
        <v>1</v>
      </c>
      <c r="H124">
        <v>1.5171499999999999E-2</v>
      </c>
      <c r="I124">
        <v>1.5096999999999999E-2</v>
      </c>
      <c r="J124">
        <v>41472</v>
      </c>
      <c r="K124">
        <v>21025</v>
      </c>
    </row>
    <row r="125" spans="2:12" x14ac:dyDescent="0.25">
      <c r="B125">
        <v>2</v>
      </c>
      <c r="C125">
        <v>6</v>
      </c>
      <c r="D125" s="2">
        <v>36</v>
      </c>
      <c r="E125" t="s">
        <v>15</v>
      </c>
      <c r="F125" t="s">
        <v>12</v>
      </c>
      <c r="G125" s="2">
        <v>2</v>
      </c>
      <c r="H125">
        <v>2.16513333333E-2</v>
      </c>
      <c r="I125">
        <v>2.1464E-2</v>
      </c>
      <c r="J125">
        <v>10368</v>
      </c>
      <c r="K125">
        <v>21025</v>
      </c>
    </row>
    <row r="126" spans="2:12" x14ac:dyDescent="0.25">
      <c r="B126">
        <v>3</v>
      </c>
      <c r="C126">
        <v>6</v>
      </c>
      <c r="D126" s="2">
        <v>25</v>
      </c>
      <c r="E126" t="s">
        <v>15</v>
      </c>
      <c r="F126" t="s">
        <v>12</v>
      </c>
      <c r="G126" s="2">
        <v>4</v>
      </c>
      <c r="H126">
        <v>2.6707499999999999E-2</v>
      </c>
      <c r="I126">
        <v>2.6492999999999999E-2</v>
      </c>
      <c r="J126">
        <v>5000</v>
      </c>
      <c r="K126">
        <v>22801</v>
      </c>
    </row>
    <row r="127" spans="2:12" x14ac:dyDescent="0.25">
      <c r="B127">
        <v>4</v>
      </c>
      <c r="C127">
        <v>6</v>
      </c>
      <c r="D127" s="2">
        <v>18</v>
      </c>
      <c r="E127" t="s">
        <v>15</v>
      </c>
      <c r="F127" t="s">
        <v>12</v>
      </c>
      <c r="G127" s="2">
        <v>6</v>
      </c>
      <c r="H127">
        <v>3.7263166666700001E-2</v>
      </c>
      <c r="I127">
        <v>3.7106E-2</v>
      </c>
      <c r="J127">
        <v>2592</v>
      </c>
      <c r="K127">
        <v>21025</v>
      </c>
    </row>
    <row r="128" spans="2:12" x14ac:dyDescent="0.25">
      <c r="B128">
        <v>5</v>
      </c>
      <c r="C128">
        <v>6</v>
      </c>
      <c r="D128" s="2">
        <v>15</v>
      </c>
      <c r="E128" t="s">
        <v>15</v>
      </c>
      <c r="F128" t="s">
        <v>12</v>
      </c>
      <c r="G128" s="2">
        <v>8</v>
      </c>
      <c r="H128">
        <v>5.1813499999999998E-2</v>
      </c>
      <c r="I128">
        <v>5.1588000000000002E-2</v>
      </c>
      <c r="J128">
        <v>1800</v>
      </c>
      <c r="K128">
        <v>22801</v>
      </c>
    </row>
    <row r="129" spans="2:11" x14ac:dyDescent="0.25">
      <c r="B129">
        <v>1</v>
      </c>
      <c r="C129">
        <v>6</v>
      </c>
      <c r="D129" s="2">
        <v>72</v>
      </c>
      <c r="E129" t="s">
        <v>15</v>
      </c>
      <c r="F129" t="s">
        <v>0</v>
      </c>
      <c r="G129" s="2">
        <v>1</v>
      </c>
      <c r="H129">
        <v>1.51466666667E-2</v>
      </c>
      <c r="I129">
        <v>1.5049999999999999E-2</v>
      </c>
      <c r="J129">
        <v>41472</v>
      </c>
      <c r="K129">
        <v>21025</v>
      </c>
    </row>
    <row r="130" spans="2:11" x14ac:dyDescent="0.25">
      <c r="B130">
        <v>2</v>
      </c>
      <c r="C130">
        <v>6</v>
      </c>
      <c r="D130" s="2">
        <v>36</v>
      </c>
      <c r="E130" t="s">
        <v>15</v>
      </c>
      <c r="F130" t="s">
        <v>0</v>
      </c>
      <c r="G130" s="2">
        <v>2</v>
      </c>
      <c r="H130">
        <v>3.8623333333299998E-3</v>
      </c>
      <c r="I130">
        <v>3.8249999999999998E-3</v>
      </c>
      <c r="J130">
        <v>10368</v>
      </c>
      <c r="K130">
        <v>21025</v>
      </c>
    </row>
    <row r="131" spans="2:11" x14ac:dyDescent="0.25">
      <c r="B131">
        <v>3</v>
      </c>
      <c r="C131">
        <v>6</v>
      </c>
      <c r="D131" s="2">
        <v>25</v>
      </c>
      <c r="E131" t="s">
        <v>15</v>
      </c>
      <c r="F131" t="s">
        <v>0</v>
      </c>
      <c r="G131" s="2">
        <v>4</v>
      </c>
      <c r="H131">
        <v>2.49833333333E-3</v>
      </c>
      <c r="I131">
        <v>2.4849999999999998E-3</v>
      </c>
      <c r="J131">
        <v>5000</v>
      </c>
      <c r="K131">
        <v>22801</v>
      </c>
    </row>
    <row r="132" spans="2:11" x14ac:dyDescent="0.25">
      <c r="B132">
        <v>4</v>
      </c>
      <c r="C132">
        <v>6</v>
      </c>
      <c r="D132" s="2">
        <v>18</v>
      </c>
      <c r="E132" t="s">
        <v>15</v>
      </c>
      <c r="F132" t="s">
        <v>0</v>
      </c>
      <c r="G132" s="2">
        <v>6</v>
      </c>
      <c r="H132">
        <v>1.9239999999999999E-3</v>
      </c>
      <c r="I132">
        <v>1.8990000000000001E-3</v>
      </c>
      <c r="J132">
        <v>2592</v>
      </c>
      <c r="K132">
        <v>21025</v>
      </c>
    </row>
    <row r="133" spans="2:11" x14ac:dyDescent="0.25">
      <c r="B133">
        <v>5</v>
      </c>
      <c r="C133">
        <v>6</v>
      </c>
      <c r="D133" s="2">
        <v>15</v>
      </c>
      <c r="E133" t="s">
        <v>15</v>
      </c>
      <c r="F133" t="s">
        <v>0</v>
      </c>
      <c r="G133" s="2">
        <v>8</v>
      </c>
      <c r="H133">
        <v>2.2920000000000002E-3</v>
      </c>
      <c r="I133">
        <v>2.271E-3</v>
      </c>
      <c r="J133">
        <v>1800</v>
      </c>
      <c r="K133">
        <v>22801</v>
      </c>
    </row>
    <row r="134" spans="2:11" x14ac:dyDescent="0.25">
      <c r="B134">
        <v>1</v>
      </c>
      <c r="C134">
        <v>6</v>
      </c>
      <c r="D134" s="2">
        <v>72</v>
      </c>
      <c r="E134" t="s">
        <v>18</v>
      </c>
      <c r="F134" t="s">
        <v>13</v>
      </c>
      <c r="G134" s="2">
        <v>1</v>
      </c>
      <c r="H134">
        <v>1.51865E-2</v>
      </c>
      <c r="I134">
        <v>1.5094E-2</v>
      </c>
      <c r="J134">
        <v>41472</v>
      </c>
      <c r="K134">
        <v>21025</v>
      </c>
    </row>
    <row r="135" spans="2:11" x14ac:dyDescent="0.25">
      <c r="B135">
        <v>2</v>
      </c>
      <c r="C135">
        <v>6</v>
      </c>
      <c r="D135" s="2">
        <v>36</v>
      </c>
      <c r="E135" t="s">
        <v>18</v>
      </c>
      <c r="F135" t="s">
        <v>13</v>
      </c>
      <c r="G135" s="2">
        <v>2</v>
      </c>
      <c r="H135">
        <v>1.0170333333300001E-2</v>
      </c>
      <c r="I135">
        <v>1.0135E-2</v>
      </c>
      <c r="J135">
        <v>10368</v>
      </c>
      <c r="K135">
        <v>21025</v>
      </c>
    </row>
    <row r="136" spans="2:11" x14ac:dyDescent="0.25">
      <c r="B136">
        <v>3</v>
      </c>
      <c r="C136">
        <v>6</v>
      </c>
      <c r="D136" s="2">
        <v>25</v>
      </c>
      <c r="E136" t="s">
        <v>18</v>
      </c>
      <c r="F136" t="s">
        <v>13</v>
      </c>
      <c r="G136" s="2">
        <v>4</v>
      </c>
      <c r="H136">
        <v>1.4356499999999999E-2</v>
      </c>
      <c r="I136">
        <v>1.4311000000000001E-2</v>
      </c>
      <c r="J136">
        <v>5000</v>
      </c>
      <c r="K136">
        <v>22801</v>
      </c>
    </row>
    <row r="137" spans="2:11" x14ac:dyDescent="0.25">
      <c r="B137">
        <v>4</v>
      </c>
      <c r="C137">
        <v>6</v>
      </c>
      <c r="D137" s="2">
        <v>18</v>
      </c>
      <c r="E137" t="s">
        <v>18</v>
      </c>
      <c r="F137" t="s">
        <v>13</v>
      </c>
      <c r="G137" s="2">
        <v>6</v>
      </c>
      <c r="H137">
        <v>2.4294E-2</v>
      </c>
      <c r="I137">
        <v>2.4114E-2</v>
      </c>
      <c r="J137">
        <v>2592</v>
      </c>
      <c r="K137">
        <v>21025</v>
      </c>
    </row>
    <row r="138" spans="2:11" x14ac:dyDescent="0.25">
      <c r="B138">
        <v>5</v>
      </c>
      <c r="C138">
        <v>6</v>
      </c>
      <c r="D138" s="2">
        <v>15</v>
      </c>
      <c r="E138" t="s">
        <v>18</v>
      </c>
      <c r="F138" t="s">
        <v>13</v>
      </c>
      <c r="G138" s="2">
        <v>8</v>
      </c>
      <c r="H138">
        <v>3.7080333333299999E-2</v>
      </c>
      <c r="I138">
        <v>3.6991999999999997E-2</v>
      </c>
      <c r="J138">
        <v>1800</v>
      </c>
      <c r="K138">
        <v>22801</v>
      </c>
    </row>
    <row r="139" spans="2:11" x14ac:dyDescent="0.25">
      <c r="B139">
        <v>1</v>
      </c>
      <c r="C139">
        <v>6</v>
      </c>
      <c r="D139" s="2">
        <v>72</v>
      </c>
      <c r="E139" t="s">
        <v>18</v>
      </c>
      <c r="F139" t="s">
        <v>12</v>
      </c>
      <c r="G139" s="2">
        <v>1</v>
      </c>
      <c r="H139">
        <v>1.51463333333E-2</v>
      </c>
      <c r="I139">
        <v>1.5077E-2</v>
      </c>
      <c r="J139">
        <v>41472</v>
      </c>
      <c r="K139">
        <v>21025</v>
      </c>
    </row>
    <row r="140" spans="2:11" x14ac:dyDescent="0.25">
      <c r="B140">
        <v>2</v>
      </c>
      <c r="C140">
        <v>6</v>
      </c>
      <c r="D140" s="2">
        <v>36</v>
      </c>
      <c r="E140" t="s">
        <v>18</v>
      </c>
      <c r="F140" t="s">
        <v>12</v>
      </c>
      <c r="G140" s="2">
        <v>2</v>
      </c>
      <c r="H140">
        <v>2.1334166666699999E-2</v>
      </c>
      <c r="I140">
        <v>2.1295000000000001E-2</v>
      </c>
      <c r="J140">
        <v>10368</v>
      </c>
      <c r="K140">
        <v>21025</v>
      </c>
    </row>
    <row r="141" spans="2:11" x14ac:dyDescent="0.25">
      <c r="B141">
        <v>3</v>
      </c>
      <c r="C141">
        <v>6</v>
      </c>
      <c r="D141" s="2">
        <v>25</v>
      </c>
      <c r="E141" t="s">
        <v>18</v>
      </c>
      <c r="F141" t="s">
        <v>12</v>
      </c>
      <c r="G141" s="2">
        <v>4</v>
      </c>
      <c r="H141">
        <v>2.6342166666700001E-2</v>
      </c>
      <c r="I141">
        <v>2.6152000000000002E-2</v>
      </c>
      <c r="J141">
        <v>5000</v>
      </c>
      <c r="K141">
        <v>22801</v>
      </c>
    </row>
    <row r="142" spans="2:11" x14ac:dyDescent="0.25">
      <c r="B142">
        <v>4</v>
      </c>
      <c r="C142">
        <v>6</v>
      </c>
      <c r="D142" s="2">
        <v>18</v>
      </c>
      <c r="E142" t="s">
        <v>18</v>
      </c>
      <c r="F142" t="s">
        <v>12</v>
      </c>
      <c r="G142" s="2">
        <v>6</v>
      </c>
      <c r="H142">
        <v>3.7243666666700002E-2</v>
      </c>
      <c r="I142">
        <v>3.7114000000000001E-2</v>
      </c>
      <c r="J142">
        <v>2592</v>
      </c>
      <c r="K142">
        <v>21025</v>
      </c>
    </row>
    <row r="143" spans="2:11" x14ac:dyDescent="0.25">
      <c r="B143">
        <v>5</v>
      </c>
      <c r="C143">
        <v>6</v>
      </c>
      <c r="D143" s="2">
        <v>15</v>
      </c>
      <c r="E143" t="s">
        <v>18</v>
      </c>
      <c r="F143" t="s">
        <v>12</v>
      </c>
      <c r="G143" s="2">
        <v>8</v>
      </c>
      <c r="H143">
        <v>5.1737666666700002E-2</v>
      </c>
      <c r="I143">
        <v>5.16E-2</v>
      </c>
      <c r="J143">
        <v>1800</v>
      </c>
      <c r="K143">
        <v>22801</v>
      </c>
    </row>
    <row r="144" spans="2:11" x14ac:dyDescent="0.25">
      <c r="B144">
        <v>1</v>
      </c>
      <c r="C144">
        <v>6</v>
      </c>
      <c r="D144" s="2">
        <v>72</v>
      </c>
      <c r="E144" t="s">
        <v>18</v>
      </c>
      <c r="F144" t="s">
        <v>0</v>
      </c>
      <c r="G144" s="2">
        <v>1</v>
      </c>
      <c r="H144">
        <v>1.51545E-2</v>
      </c>
      <c r="I144">
        <v>1.5073E-2</v>
      </c>
      <c r="J144">
        <v>41472</v>
      </c>
      <c r="K144">
        <v>21025</v>
      </c>
    </row>
    <row r="145" spans="2:11" x14ac:dyDescent="0.25">
      <c r="B145">
        <v>2</v>
      </c>
      <c r="C145">
        <v>6</v>
      </c>
      <c r="D145" s="2">
        <v>36</v>
      </c>
      <c r="E145" t="s">
        <v>18</v>
      </c>
      <c r="F145" t="s">
        <v>0</v>
      </c>
      <c r="G145" s="2">
        <v>2</v>
      </c>
      <c r="H145">
        <v>3.8368333333299999E-3</v>
      </c>
      <c r="I145">
        <v>3.81E-3</v>
      </c>
      <c r="J145">
        <v>10368</v>
      </c>
      <c r="K145">
        <v>21025</v>
      </c>
    </row>
    <row r="146" spans="2:11" x14ac:dyDescent="0.25">
      <c r="B146">
        <v>3</v>
      </c>
      <c r="C146">
        <v>6</v>
      </c>
      <c r="D146" s="2">
        <v>25</v>
      </c>
      <c r="E146" t="s">
        <v>18</v>
      </c>
      <c r="F146" t="s">
        <v>0</v>
      </c>
      <c r="G146" s="2">
        <v>4</v>
      </c>
      <c r="H146">
        <v>2.9923333333300001E-3</v>
      </c>
      <c r="I146">
        <v>2.5010000000000002E-3</v>
      </c>
      <c r="J146">
        <v>5000</v>
      </c>
      <c r="K146">
        <v>22801</v>
      </c>
    </row>
    <row r="147" spans="2:11" x14ac:dyDescent="0.25">
      <c r="B147">
        <v>4</v>
      </c>
      <c r="C147">
        <v>6</v>
      </c>
      <c r="D147" s="2">
        <v>18</v>
      </c>
      <c r="E147" t="s">
        <v>18</v>
      </c>
      <c r="F147" t="s">
        <v>0</v>
      </c>
      <c r="G147" s="2">
        <v>6</v>
      </c>
      <c r="H147">
        <v>1.9223333333299999E-3</v>
      </c>
      <c r="I147">
        <v>1.8959999999999999E-3</v>
      </c>
      <c r="J147">
        <v>2592</v>
      </c>
      <c r="K147">
        <v>21025</v>
      </c>
    </row>
    <row r="148" spans="2:11" x14ac:dyDescent="0.25">
      <c r="B148">
        <v>5</v>
      </c>
      <c r="C148">
        <v>6</v>
      </c>
      <c r="D148" s="2">
        <v>15</v>
      </c>
      <c r="E148" t="s">
        <v>18</v>
      </c>
      <c r="F148" t="s">
        <v>0</v>
      </c>
      <c r="G148" s="2">
        <v>8</v>
      </c>
      <c r="H148">
        <v>2.3531666666699999E-3</v>
      </c>
      <c r="I148">
        <v>2.3349999999999998E-3</v>
      </c>
      <c r="J148">
        <v>1800</v>
      </c>
      <c r="K148">
        <v>22801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M145"/>
  <sheetViews>
    <sheetView topLeftCell="A122" workbookViewId="0">
      <selection activeCell="B4" sqref="B4:M145"/>
    </sheetView>
  </sheetViews>
  <sheetFormatPr defaultRowHeight="15" x14ac:dyDescent="0.25"/>
  <cols>
    <col min="5" max="5" width="13" customWidth="1"/>
  </cols>
  <sheetData>
    <row r="4" spans="2:13" x14ac:dyDescent="0.25">
      <c r="B4">
        <v>1</v>
      </c>
      <c r="C4">
        <v>6</v>
      </c>
      <c r="D4" s="2">
        <v>24</v>
      </c>
      <c r="E4" t="s">
        <v>20</v>
      </c>
      <c r="F4" t="s">
        <v>13</v>
      </c>
      <c r="G4" s="2">
        <v>1</v>
      </c>
      <c r="H4">
        <v>6.6846333333300006E-2</v>
      </c>
      <c r="I4" s="3">
        <v>6.6592999999999999E-2</v>
      </c>
      <c r="J4">
        <v>155664</v>
      </c>
      <c r="K4">
        <v>27672</v>
      </c>
      <c r="L4">
        <f t="shared" ref="L4:L67" si="0">I4/J4</f>
        <v>4.2779961969369923E-7</v>
      </c>
      <c r="M4" s="3">
        <f>(H4-I4)/(2*H4)</f>
        <v>1.8948932624088086E-3</v>
      </c>
    </row>
    <row r="5" spans="2:13" x14ac:dyDescent="0.25">
      <c r="B5">
        <v>2</v>
      </c>
      <c r="C5">
        <v>6</v>
      </c>
      <c r="D5" s="2">
        <v>12</v>
      </c>
      <c r="E5" t="s">
        <v>20</v>
      </c>
      <c r="F5" t="s">
        <v>13</v>
      </c>
      <c r="G5" s="2">
        <v>4</v>
      </c>
      <c r="H5">
        <v>0.113325333333</v>
      </c>
      <c r="I5">
        <v>0.11314</v>
      </c>
      <c r="J5">
        <v>18216</v>
      </c>
      <c r="K5">
        <v>25967</v>
      </c>
      <c r="L5">
        <f t="shared" si="0"/>
        <v>6.211023276240668E-6</v>
      </c>
      <c r="M5" s="3">
        <f t="shared" ref="M5:M68" si="1">(H5-I5)/(2*H5)</f>
        <v>8.1770477769258811E-4</v>
      </c>
    </row>
    <row r="6" spans="2:13" x14ac:dyDescent="0.25">
      <c r="B6">
        <v>3</v>
      </c>
      <c r="C6">
        <v>6</v>
      </c>
      <c r="D6" s="2">
        <v>8</v>
      </c>
      <c r="E6" t="s">
        <v>20</v>
      </c>
      <c r="F6" t="s">
        <v>13</v>
      </c>
      <c r="G6" s="2">
        <v>6</v>
      </c>
      <c r="H6">
        <v>0.16122800000000001</v>
      </c>
      <c r="I6">
        <v>0.16109200000000001</v>
      </c>
      <c r="J6">
        <v>5040</v>
      </c>
      <c r="K6">
        <v>24310</v>
      </c>
      <c r="L6">
        <f t="shared" si="0"/>
        <v>3.1962698412698412E-5</v>
      </c>
      <c r="M6" s="3">
        <f t="shared" si="1"/>
        <v>4.2176296921129467E-4</v>
      </c>
    </row>
    <row r="7" spans="2:13" x14ac:dyDescent="0.25">
      <c r="B7">
        <v>4</v>
      </c>
      <c r="C7">
        <v>6</v>
      </c>
      <c r="D7" s="2">
        <v>6</v>
      </c>
      <c r="E7" t="s">
        <v>20</v>
      </c>
      <c r="F7" t="s">
        <v>13</v>
      </c>
      <c r="G7" s="2">
        <v>8</v>
      </c>
      <c r="H7">
        <v>0.26058033333300001</v>
      </c>
      <c r="I7">
        <v>0.26033699999999999</v>
      </c>
      <c r="J7">
        <v>1980</v>
      </c>
      <c r="K7">
        <v>22701</v>
      </c>
      <c r="L7">
        <f t="shared" si="0"/>
        <v>1.3148333333333332E-4</v>
      </c>
      <c r="M7" s="3">
        <f t="shared" si="1"/>
        <v>4.6690655792712665E-4</v>
      </c>
    </row>
    <row r="8" spans="2:13" x14ac:dyDescent="0.25">
      <c r="B8">
        <v>5</v>
      </c>
      <c r="C8">
        <v>6</v>
      </c>
      <c r="D8" s="2">
        <v>5</v>
      </c>
      <c r="E8" t="s">
        <v>20</v>
      </c>
      <c r="F8" t="s">
        <v>13</v>
      </c>
      <c r="G8" s="2">
        <v>10</v>
      </c>
      <c r="H8">
        <v>0.48734466666699999</v>
      </c>
      <c r="I8">
        <v>0.48693399999999998</v>
      </c>
      <c r="J8">
        <v>1080</v>
      </c>
      <c r="K8">
        <v>24171</v>
      </c>
      <c r="L8">
        <f t="shared" si="0"/>
        <v>4.5086481481481478E-4</v>
      </c>
      <c r="M8" s="3">
        <f t="shared" si="1"/>
        <v>4.2133083122526617E-4</v>
      </c>
    </row>
    <row r="9" spans="2:13" x14ac:dyDescent="0.25">
      <c r="B9">
        <v>1</v>
      </c>
      <c r="C9">
        <v>6</v>
      </c>
      <c r="D9" s="2">
        <v>24</v>
      </c>
      <c r="E9" t="s">
        <v>20</v>
      </c>
      <c r="F9" t="s">
        <v>0</v>
      </c>
      <c r="G9" s="2">
        <v>1</v>
      </c>
      <c r="H9">
        <v>3.9878333333300001E-2</v>
      </c>
      <c r="I9">
        <v>3.9688000000000001E-2</v>
      </c>
      <c r="J9">
        <v>155664</v>
      </c>
      <c r="K9">
        <v>27672</v>
      </c>
      <c r="L9">
        <f t="shared" si="0"/>
        <v>2.5495939973275777E-7</v>
      </c>
      <c r="M9" s="3">
        <f t="shared" si="1"/>
        <v>2.386425376773001E-3</v>
      </c>
    </row>
    <row r="10" spans="2:13" x14ac:dyDescent="0.25">
      <c r="B10">
        <v>2</v>
      </c>
      <c r="C10">
        <v>6</v>
      </c>
      <c r="D10" s="2">
        <v>12</v>
      </c>
      <c r="E10" t="s">
        <v>20</v>
      </c>
      <c r="F10" t="s">
        <v>0</v>
      </c>
      <c r="G10" s="2">
        <v>4</v>
      </c>
      <c r="H10">
        <v>7.7844999999999998E-3</v>
      </c>
      <c r="I10">
        <v>7.7619999999999998E-3</v>
      </c>
      <c r="J10">
        <v>18216</v>
      </c>
      <c r="K10">
        <v>25967</v>
      </c>
      <c r="L10">
        <f t="shared" si="0"/>
        <v>4.2610891523934999E-7</v>
      </c>
      <c r="M10" s="3">
        <f t="shared" si="1"/>
        <v>1.4451795234119052E-3</v>
      </c>
    </row>
    <row r="11" spans="2:13" x14ac:dyDescent="0.25">
      <c r="B11">
        <v>3</v>
      </c>
      <c r="C11">
        <v>6</v>
      </c>
      <c r="D11" s="2">
        <v>8</v>
      </c>
      <c r="E11" t="s">
        <v>20</v>
      </c>
      <c r="F11" t="s">
        <v>0</v>
      </c>
      <c r="G11" s="2">
        <v>6</v>
      </c>
      <c r="H11">
        <v>5.1588333333299997E-3</v>
      </c>
      <c r="I11">
        <v>5.13E-3</v>
      </c>
      <c r="J11">
        <v>5040</v>
      </c>
      <c r="K11">
        <v>24310</v>
      </c>
      <c r="L11">
        <f t="shared" si="0"/>
        <v>1.0178571428571429E-6</v>
      </c>
      <c r="M11" s="3">
        <f t="shared" si="1"/>
        <v>2.7945594931042222E-3</v>
      </c>
    </row>
    <row r="12" spans="2:13" x14ac:dyDescent="0.25">
      <c r="B12">
        <v>4</v>
      </c>
      <c r="C12">
        <v>6</v>
      </c>
      <c r="D12" s="2">
        <v>6</v>
      </c>
      <c r="E12" t="s">
        <v>20</v>
      </c>
      <c r="F12" t="s">
        <v>0</v>
      </c>
      <c r="G12" s="2">
        <v>8</v>
      </c>
      <c r="H12">
        <v>4.8380000000000003E-3</v>
      </c>
      <c r="I12">
        <v>4.7829999999999999E-3</v>
      </c>
      <c r="J12">
        <v>1980</v>
      </c>
      <c r="K12">
        <v>22701</v>
      </c>
      <c r="L12">
        <f t="shared" si="0"/>
        <v>2.4156565656565656E-6</v>
      </c>
      <c r="M12" s="3">
        <f t="shared" si="1"/>
        <v>5.6841670111616744E-3</v>
      </c>
    </row>
    <row r="13" spans="2:13" x14ac:dyDescent="0.25">
      <c r="B13">
        <v>5</v>
      </c>
      <c r="C13">
        <v>6</v>
      </c>
      <c r="D13" s="2">
        <v>5</v>
      </c>
      <c r="E13" t="s">
        <v>20</v>
      </c>
      <c r="F13" t="s">
        <v>0</v>
      </c>
      <c r="G13" s="2">
        <v>10</v>
      </c>
      <c r="H13">
        <v>5.8341666666699996E-3</v>
      </c>
      <c r="I13">
        <v>5.7790000000000003E-3</v>
      </c>
      <c r="J13">
        <v>1080</v>
      </c>
      <c r="K13">
        <v>24171</v>
      </c>
      <c r="L13">
        <f t="shared" si="0"/>
        <v>5.3509259259259262E-6</v>
      </c>
      <c r="M13" s="3">
        <f t="shared" si="1"/>
        <v>4.727896015137934E-3</v>
      </c>
    </row>
    <row r="14" spans="2:13" x14ac:dyDescent="0.25">
      <c r="B14">
        <v>2</v>
      </c>
      <c r="C14">
        <v>6</v>
      </c>
      <c r="D14" s="2">
        <v>12</v>
      </c>
      <c r="E14" t="s">
        <v>20</v>
      </c>
      <c r="F14" t="s">
        <v>22</v>
      </c>
      <c r="G14" s="2">
        <v>4</v>
      </c>
      <c r="H14">
        <v>0.14608266666700001</v>
      </c>
      <c r="I14">
        <v>0.145756</v>
      </c>
      <c r="J14">
        <v>18216</v>
      </c>
      <c r="K14">
        <v>25967</v>
      </c>
      <c r="L14">
        <f t="shared" si="0"/>
        <v>8.0015371102327618E-6</v>
      </c>
      <c r="M14" s="3">
        <f t="shared" si="1"/>
        <v>1.1180883894482186E-3</v>
      </c>
    </row>
    <row r="15" spans="2:13" x14ac:dyDescent="0.25">
      <c r="B15">
        <v>3</v>
      </c>
      <c r="C15">
        <v>6</v>
      </c>
      <c r="D15" s="2">
        <v>8</v>
      </c>
      <c r="E15" t="s">
        <v>20</v>
      </c>
      <c r="F15" t="s">
        <v>22</v>
      </c>
      <c r="G15" s="2">
        <v>6</v>
      </c>
      <c r="H15">
        <v>1.16427516667</v>
      </c>
      <c r="I15">
        <v>1.071985</v>
      </c>
      <c r="J15">
        <v>5040</v>
      </c>
      <c r="K15">
        <v>24310</v>
      </c>
      <c r="L15">
        <f t="shared" si="0"/>
        <v>2.1269543650793651E-4</v>
      </c>
      <c r="M15" s="3">
        <f t="shared" si="1"/>
        <v>3.9634172965298059E-2</v>
      </c>
    </row>
    <row r="16" spans="2:13" x14ac:dyDescent="0.25">
      <c r="B16">
        <v>1</v>
      </c>
      <c r="C16">
        <v>6</v>
      </c>
      <c r="D16" s="2">
        <v>72</v>
      </c>
      <c r="E16" t="s">
        <v>21</v>
      </c>
      <c r="F16" t="s">
        <v>13</v>
      </c>
      <c r="G16" s="2">
        <v>1</v>
      </c>
      <c r="H16">
        <v>3.5038833333299997E-2</v>
      </c>
      <c r="I16">
        <v>3.4923000000000003E-2</v>
      </c>
      <c r="J16">
        <v>41472</v>
      </c>
      <c r="K16">
        <v>21025</v>
      </c>
      <c r="L16">
        <f t="shared" si="0"/>
        <v>8.4208622685185189E-7</v>
      </c>
      <c r="M16" s="3">
        <f t="shared" si="1"/>
        <v>1.6529279413808203E-3</v>
      </c>
    </row>
    <row r="17" spans="2:13" x14ac:dyDescent="0.25">
      <c r="B17">
        <v>2</v>
      </c>
      <c r="C17">
        <v>6</v>
      </c>
      <c r="D17" s="2">
        <v>36</v>
      </c>
      <c r="E17" t="s">
        <v>21</v>
      </c>
      <c r="F17" t="s">
        <v>13</v>
      </c>
      <c r="G17" s="2">
        <v>4</v>
      </c>
      <c r="H17">
        <v>2.0902666666700001E-2</v>
      </c>
      <c r="I17">
        <v>2.0840000000000001E-2</v>
      </c>
      <c r="J17">
        <v>10368</v>
      </c>
      <c r="K17">
        <v>21025</v>
      </c>
      <c r="L17">
        <f t="shared" si="0"/>
        <v>2.010030864197531E-6</v>
      </c>
      <c r="M17" s="3">
        <f t="shared" si="1"/>
        <v>1.4990112912204243E-3</v>
      </c>
    </row>
    <row r="18" spans="2:13" x14ac:dyDescent="0.25">
      <c r="B18">
        <v>3</v>
      </c>
      <c r="C18">
        <v>6</v>
      </c>
      <c r="D18" s="2">
        <v>25</v>
      </c>
      <c r="E18" t="s">
        <v>21</v>
      </c>
      <c r="F18" t="s">
        <v>13</v>
      </c>
      <c r="G18" s="2">
        <v>6</v>
      </c>
      <c r="H18">
        <v>3.8798666666700003E-2</v>
      </c>
      <c r="I18">
        <v>3.8641000000000002E-2</v>
      </c>
      <c r="J18">
        <v>5000</v>
      </c>
      <c r="K18">
        <v>22801</v>
      </c>
      <c r="L18">
        <f t="shared" si="0"/>
        <v>7.7282E-6</v>
      </c>
      <c r="M18" s="3">
        <f t="shared" si="1"/>
        <v>2.0318567652651215E-3</v>
      </c>
    </row>
    <row r="19" spans="2:13" x14ac:dyDescent="0.25">
      <c r="B19">
        <v>4</v>
      </c>
      <c r="C19">
        <v>6</v>
      </c>
      <c r="D19" s="2">
        <v>18</v>
      </c>
      <c r="E19" t="s">
        <v>21</v>
      </c>
      <c r="F19" t="s">
        <v>13</v>
      </c>
      <c r="G19" s="2">
        <v>8</v>
      </c>
      <c r="H19">
        <v>4.9566499999999999E-2</v>
      </c>
      <c r="I19">
        <v>4.9418999999999998E-2</v>
      </c>
      <c r="J19">
        <v>2592</v>
      </c>
      <c r="K19">
        <v>21025</v>
      </c>
      <c r="L19">
        <f t="shared" si="0"/>
        <v>1.9065972222222221E-5</v>
      </c>
      <c r="M19" s="3">
        <f t="shared" si="1"/>
        <v>1.4879000938133799E-3</v>
      </c>
    </row>
    <row r="20" spans="2:13" x14ac:dyDescent="0.25">
      <c r="B20">
        <v>5</v>
      </c>
      <c r="C20">
        <v>6</v>
      </c>
      <c r="D20" s="2">
        <v>15</v>
      </c>
      <c r="E20" t="s">
        <v>21</v>
      </c>
      <c r="F20" t="s">
        <v>13</v>
      </c>
      <c r="G20" s="2">
        <v>10</v>
      </c>
      <c r="H20">
        <v>8.6899000000000004E-2</v>
      </c>
      <c r="I20">
        <v>8.6663000000000004E-2</v>
      </c>
      <c r="J20">
        <v>1800</v>
      </c>
      <c r="K20">
        <v>22801</v>
      </c>
      <c r="L20">
        <f t="shared" si="0"/>
        <v>4.8146111111111112E-5</v>
      </c>
      <c r="M20" s="3">
        <f t="shared" si="1"/>
        <v>1.3578982496921718E-3</v>
      </c>
    </row>
    <row r="21" spans="2:13" x14ac:dyDescent="0.25">
      <c r="B21">
        <v>1</v>
      </c>
      <c r="C21">
        <v>6</v>
      </c>
      <c r="D21" s="2">
        <v>72</v>
      </c>
      <c r="E21" t="s">
        <v>21</v>
      </c>
      <c r="F21" t="s">
        <v>0</v>
      </c>
      <c r="G21" s="2">
        <v>1</v>
      </c>
      <c r="H21">
        <v>2.9989333333299999E-2</v>
      </c>
      <c r="I21">
        <v>2.9843999999999999E-2</v>
      </c>
      <c r="J21">
        <v>41472</v>
      </c>
      <c r="K21">
        <v>21025</v>
      </c>
      <c r="L21">
        <f t="shared" si="0"/>
        <v>7.1961805555555548E-7</v>
      </c>
      <c r="M21" s="3">
        <f t="shared" si="1"/>
        <v>2.4230837625627091E-3</v>
      </c>
    </row>
    <row r="22" spans="2:13" x14ac:dyDescent="0.25">
      <c r="B22">
        <v>2</v>
      </c>
      <c r="C22">
        <v>6</v>
      </c>
      <c r="D22" s="2">
        <v>36</v>
      </c>
      <c r="E22" t="s">
        <v>21</v>
      </c>
      <c r="F22" t="s">
        <v>0</v>
      </c>
      <c r="G22" s="2">
        <v>4</v>
      </c>
      <c r="H22">
        <v>6.9350000000000002E-3</v>
      </c>
      <c r="I22">
        <v>6.9080000000000001E-3</v>
      </c>
      <c r="J22">
        <v>10368</v>
      </c>
      <c r="K22">
        <v>21025</v>
      </c>
      <c r="L22">
        <f t="shared" si="0"/>
        <v>6.6628086419753085E-7</v>
      </c>
      <c r="M22" s="3">
        <f t="shared" si="1"/>
        <v>1.9466474405191142E-3</v>
      </c>
    </row>
    <row r="23" spans="2:13" x14ac:dyDescent="0.25">
      <c r="B23">
        <v>3</v>
      </c>
      <c r="C23">
        <v>6</v>
      </c>
      <c r="D23" s="2">
        <v>25</v>
      </c>
      <c r="E23" t="s">
        <v>21</v>
      </c>
      <c r="F23" t="s">
        <v>0</v>
      </c>
      <c r="G23" s="2">
        <v>6</v>
      </c>
      <c r="H23">
        <v>4.1085000000000002E-3</v>
      </c>
      <c r="I23">
        <v>4.0730000000000002E-3</v>
      </c>
      <c r="J23">
        <v>5000</v>
      </c>
      <c r="K23">
        <v>22801</v>
      </c>
      <c r="L23">
        <f t="shared" si="0"/>
        <v>8.146E-7</v>
      </c>
      <c r="M23" s="3">
        <f t="shared" si="1"/>
        <v>4.3203115492272048E-3</v>
      </c>
    </row>
    <row r="24" spans="2:13" x14ac:dyDescent="0.25">
      <c r="B24">
        <v>4</v>
      </c>
      <c r="C24">
        <v>6</v>
      </c>
      <c r="D24" s="2">
        <v>18</v>
      </c>
      <c r="E24" t="s">
        <v>21</v>
      </c>
      <c r="F24" t="s">
        <v>0</v>
      </c>
      <c r="G24" s="2">
        <v>8</v>
      </c>
      <c r="H24">
        <v>2.8033333333300002E-3</v>
      </c>
      <c r="I24">
        <v>2.7569999999999999E-3</v>
      </c>
      <c r="J24">
        <v>2592</v>
      </c>
      <c r="K24">
        <v>21025</v>
      </c>
      <c r="L24">
        <f t="shared" si="0"/>
        <v>1.0636574074074074E-6</v>
      </c>
      <c r="M24" s="3">
        <f t="shared" si="1"/>
        <v>8.2639714619599357E-3</v>
      </c>
    </row>
    <row r="25" spans="2:13" x14ac:dyDescent="0.25">
      <c r="B25">
        <v>5</v>
      </c>
      <c r="C25">
        <v>6</v>
      </c>
      <c r="D25" s="2">
        <v>15</v>
      </c>
      <c r="E25" t="s">
        <v>21</v>
      </c>
      <c r="F25" t="s">
        <v>0</v>
      </c>
      <c r="G25" s="2">
        <v>10</v>
      </c>
      <c r="H25">
        <v>2.7088333333299998E-3</v>
      </c>
      <c r="I25">
        <v>2.676E-3</v>
      </c>
      <c r="J25">
        <v>1800</v>
      </c>
      <c r="K25">
        <v>22801</v>
      </c>
      <c r="L25">
        <f t="shared" si="0"/>
        <v>1.4866666666666667E-6</v>
      </c>
      <c r="M25" s="3">
        <f t="shared" si="1"/>
        <v>6.0604196142324861E-3</v>
      </c>
    </row>
    <row r="26" spans="2:13" x14ac:dyDescent="0.25">
      <c r="B26">
        <v>2</v>
      </c>
      <c r="C26">
        <v>6</v>
      </c>
      <c r="D26" s="2">
        <v>36</v>
      </c>
      <c r="E26" t="s">
        <v>21</v>
      </c>
      <c r="F26" t="s">
        <v>22</v>
      </c>
      <c r="G26" s="2">
        <v>4</v>
      </c>
      <c r="H26">
        <v>1.13073333333E-2</v>
      </c>
      <c r="I26">
        <v>1.1105E-2</v>
      </c>
      <c r="J26">
        <v>10368</v>
      </c>
      <c r="K26">
        <v>21025</v>
      </c>
      <c r="L26">
        <f t="shared" si="0"/>
        <v>1.0710841049382717E-6</v>
      </c>
      <c r="M26" s="3">
        <f t="shared" si="1"/>
        <v>8.9469960483135984E-3</v>
      </c>
    </row>
    <row r="27" spans="2:13" x14ac:dyDescent="0.25">
      <c r="B27">
        <v>3</v>
      </c>
      <c r="C27">
        <v>6</v>
      </c>
      <c r="D27" s="2">
        <v>25</v>
      </c>
      <c r="E27" t="s">
        <v>21</v>
      </c>
      <c r="F27" t="s">
        <v>22</v>
      </c>
      <c r="G27" s="2">
        <v>6</v>
      </c>
      <c r="H27">
        <v>1.8049333333299999E-2</v>
      </c>
      <c r="I27">
        <v>1.7984E-2</v>
      </c>
      <c r="J27">
        <v>5000</v>
      </c>
      <c r="K27">
        <v>22801</v>
      </c>
      <c r="L27">
        <f t="shared" si="0"/>
        <v>3.5968E-6</v>
      </c>
      <c r="M27" s="3">
        <f t="shared" si="1"/>
        <v>1.8098544720059869E-3</v>
      </c>
    </row>
    <row r="28" spans="2:13" x14ac:dyDescent="0.25">
      <c r="B28">
        <v>4</v>
      </c>
      <c r="C28">
        <v>6</v>
      </c>
      <c r="D28" s="2">
        <v>18</v>
      </c>
      <c r="E28" t="s">
        <v>21</v>
      </c>
      <c r="F28" t="s">
        <v>22</v>
      </c>
      <c r="G28" s="2">
        <v>8</v>
      </c>
      <c r="H28">
        <v>3.6951666666700002E-2</v>
      </c>
      <c r="I28">
        <v>3.5087E-2</v>
      </c>
      <c r="J28">
        <v>2592</v>
      </c>
      <c r="K28">
        <v>21025</v>
      </c>
      <c r="L28">
        <f t="shared" si="0"/>
        <v>1.3536651234567902E-5</v>
      </c>
      <c r="M28" s="3">
        <f t="shared" si="1"/>
        <v>2.5231157819200573E-2</v>
      </c>
    </row>
    <row r="29" spans="2:13" x14ac:dyDescent="0.25">
      <c r="B29">
        <v>5</v>
      </c>
      <c r="C29">
        <v>6</v>
      </c>
      <c r="D29" s="2">
        <v>15</v>
      </c>
      <c r="E29" t="s">
        <v>21</v>
      </c>
      <c r="F29" t="s">
        <v>22</v>
      </c>
      <c r="G29" s="2">
        <v>10</v>
      </c>
      <c r="H29">
        <v>8.6892833333300001E-2</v>
      </c>
      <c r="I29">
        <v>8.6771000000000001E-2</v>
      </c>
      <c r="J29">
        <v>1800</v>
      </c>
      <c r="K29">
        <v>22801</v>
      </c>
      <c r="L29">
        <f t="shared" si="0"/>
        <v>4.8206111111111115E-5</v>
      </c>
      <c r="M29" s="3">
        <f t="shared" si="1"/>
        <v>7.0105513093742205E-4</v>
      </c>
    </row>
    <row r="30" spans="2:13" x14ac:dyDescent="0.25">
      <c r="B30">
        <v>1</v>
      </c>
      <c r="C30">
        <v>6</v>
      </c>
      <c r="D30" s="2">
        <v>24</v>
      </c>
      <c r="E30" t="s">
        <v>23</v>
      </c>
      <c r="F30" t="s">
        <v>13</v>
      </c>
      <c r="G30" s="2">
        <v>1</v>
      </c>
      <c r="H30">
        <v>5.1347333333300001E-2</v>
      </c>
      <c r="I30">
        <v>5.1201999999999998E-2</v>
      </c>
      <c r="J30">
        <v>155664</v>
      </c>
      <c r="K30">
        <v>27672</v>
      </c>
      <c r="L30">
        <f t="shared" si="0"/>
        <v>3.2892640559153044E-7</v>
      </c>
      <c r="M30" s="3">
        <f t="shared" si="1"/>
        <v>1.4151984520464954E-3</v>
      </c>
    </row>
    <row r="31" spans="2:13" x14ac:dyDescent="0.25">
      <c r="B31">
        <v>2</v>
      </c>
      <c r="C31">
        <v>6</v>
      </c>
      <c r="D31" s="2">
        <v>12</v>
      </c>
      <c r="E31" t="s">
        <v>23</v>
      </c>
      <c r="F31" t="s">
        <v>13</v>
      </c>
      <c r="G31" s="2">
        <v>2</v>
      </c>
      <c r="H31">
        <v>4.0279333333299999E-2</v>
      </c>
      <c r="I31">
        <v>4.0196999999999997E-2</v>
      </c>
      <c r="J31">
        <v>18216</v>
      </c>
      <c r="K31">
        <v>25967</v>
      </c>
      <c r="L31">
        <f t="shared" si="0"/>
        <v>2.2066864295125161E-6</v>
      </c>
      <c r="M31" s="3">
        <f t="shared" si="1"/>
        <v>1.0220294936204347E-3</v>
      </c>
    </row>
    <row r="32" spans="2:13" x14ac:dyDescent="0.25">
      <c r="B32">
        <v>3</v>
      </c>
      <c r="C32">
        <v>6</v>
      </c>
      <c r="D32" s="2">
        <v>8</v>
      </c>
      <c r="E32" t="s">
        <v>23</v>
      </c>
      <c r="F32" t="s">
        <v>13</v>
      </c>
      <c r="G32" s="2">
        <v>3</v>
      </c>
      <c r="H32">
        <v>3.0530333333299998E-2</v>
      </c>
      <c r="I32">
        <v>3.0446999999999998E-2</v>
      </c>
      <c r="J32">
        <v>5040</v>
      </c>
      <c r="K32">
        <v>24310</v>
      </c>
      <c r="L32">
        <f t="shared" si="0"/>
        <v>6.0410714285714285E-6</v>
      </c>
      <c r="M32" s="3">
        <f t="shared" si="1"/>
        <v>1.3647629128422734E-3</v>
      </c>
    </row>
    <row r="33" spans="2:13" x14ac:dyDescent="0.25">
      <c r="B33">
        <v>4</v>
      </c>
      <c r="C33">
        <v>6</v>
      </c>
      <c r="D33" s="2">
        <v>6</v>
      </c>
      <c r="E33" t="s">
        <v>23</v>
      </c>
      <c r="F33" t="s">
        <v>13</v>
      </c>
      <c r="G33" s="2">
        <v>4</v>
      </c>
      <c r="H33">
        <v>5.6829999999999999E-2</v>
      </c>
      <c r="I33">
        <v>5.6689999999999997E-2</v>
      </c>
      <c r="J33">
        <v>1980</v>
      </c>
      <c r="K33">
        <v>22701</v>
      </c>
      <c r="L33">
        <f t="shared" si="0"/>
        <v>2.863131313131313E-5</v>
      </c>
      <c r="M33" s="3">
        <f t="shared" si="1"/>
        <v>1.2317437972901746E-3</v>
      </c>
    </row>
    <row r="34" spans="2:13" x14ac:dyDescent="0.25">
      <c r="B34">
        <v>5</v>
      </c>
      <c r="C34">
        <v>6</v>
      </c>
      <c r="D34" s="2">
        <v>5</v>
      </c>
      <c r="E34" t="s">
        <v>23</v>
      </c>
      <c r="F34" t="s">
        <v>13</v>
      </c>
      <c r="G34" s="2">
        <v>5</v>
      </c>
      <c r="H34">
        <v>7.4998499999999996E-2</v>
      </c>
      <c r="I34">
        <v>7.4871999999999994E-2</v>
      </c>
      <c r="J34">
        <v>1080</v>
      </c>
      <c r="K34">
        <v>24171</v>
      </c>
      <c r="L34">
        <f t="shared" si="0"/>
        <v>6.9325925925925916E-5</v>
      </c>
      <c r="M34" s="3">
        <f t="shared" si="1"/>
        <v>8.4335020033735086E-4</v>
      </c>
    </row>
    <row r="35" spans="2:13" x14ac:dyDescent="0.25">
      <c r="B35">
        <v>1</v>
      </c>
      <c r="C35">
        <v>6</v>
      </c>
      <c r="D35" s="2">
        <v>24</v>
      </c>
      <c r="E35" t="s">
        <v>23</v>
      </c>
      <c r="F35" t="s">
        <v>0</v>
      </c>
      <c r="G35" s="2">
        <v>1</v>
      </c>
      <c r="H35">
        <v>2.35036666667E-2</v>
      </c>
      <c r="I35">
        <v>2.3303000000000001E-2</v>
      </c>
      <c r="J35">
        <v>155664</v>
      </c>
      <c r="K35">
        <v>27672</v>
      </c>
      <c r="L35">
        <f t="shared" si="0"/>
        <v>1.4970063727001749E-7</v>
      </c>
      <c r="M35" s="3">
        <f t="shared" si="1"/>
        <v>4.26883748705269E-3</v>
      </c>
    </row>
    <row r="36" spans="2:13" x14ac:dyDescent="0.25">
      <c r="B36">
        <v>2</v>
      </c>
      <c r="C36">
        <v>6</v>
      </c>
      <c r="D36" s="2">
        <v>12</v>
      </c>
      <c r="E36" t="s">
        <v>23</v>
      </c>
      <c r="F36" t="s">
        <v>0</v>
      </c>
      <c r="G36" s="2">
        <v>2</v>
      </c>
      <c r="H36">
        <v>3.1663333333299998E-3</v>
      </c>
      <c r="I36">
        <v>3.1389999999999999E-3</v>
      </c>
      <c r="J36">
        <v>18216</v>
      </c>
      <c r="K36">
        <v>25967</v>
      </c>
      <c r="L36">
        <f t="shared" si="0"/>
        <v>1.7232103645147123E-7</v>
      </c>
      <c r="M36" s="3">
        <f t="shared" si="1"/>
        <v>4.3162438146165981E-3</v>
      </c>
    </row>
    <row r="37" spans="2:13" x14ac:dyDescent="0.25">
      <c r="B37">
        <v>3</v>
      </c>
      <c r="C37">
        <v>6</v>
      </c>
      <c r="D37" s="2">
        <v>8</v>
      </c>
      <c r="E37" t="s">
        <v>23</v>
      </c>
      <c r="F37" t="s">
        <v>0</v>
      </c>
      <c r="G37" s="2">
        <v>3</v>
      </c>
      <c r="H37">
        <v>1.20066666667E-3</v>
      </c>
      <c r="I37">
        <v>1.1820000000000001E-3</v>
      </c>
      <c r="J37">
        <v>5040</v>
      </c>
      <c r="K37">
        <v>24310</v>
      </c>
      <c r="L37">
        <f t="shared" si="0"/>
        <v>2.3452380952380955E-7</v>
      </c>
      <c r="M37" s="3">
        <f t="shared" si="1"/>
        <v>7.7734591907057454E-3</v>
      </c>
    </row>
    <row r="38" spans="2:13" x14ac:dyDescent="0.25">
      <c r="B38">
        <v>4</v>
      </c>
      <c r="C38">
        <v>6</v>
      </c>
      <c r="D38" s="2">
        <v>6</v>
      </c>
      <c r="E38" t="s">
        <v>23</v>
      </c>
      <c r="F38" t="s">
        <v>0</v>
      </c>
      <c r="G38" s="2">
        <v>4</v>
      </c>
      <c r="H38">
        <v>6.8933333333299996E-4</v>
      </c>
      <c r="I38">
        <v>6.4800000000000003E-4</v>
      </c>
      <c r="J38">
        <v>1980</v>
      </c>
      <c r="K38">
        <v>22701</v>
      </c>
      <c r="L38">
        <f t="shared" si="0"/>
        <v>3.2727272727272728E-7</v>
      </c>
      <c r="M38" s="3">
        <f t="shared" si="1"/>
        <v>2.9980657640004779E-2</v>
      </c>
    </row>
    <row r="39" spans="2:13" x14ac:dyDescent="0.25">
      <c r="B39">
        <v>5</v>
      </c>
      <c r="C39">
        <v>6</v>
      </c>
      <c r="D39" s="2">
        <v>5</v>
      </c>
      <c r="E39" t="s">
        <v>23</v>
      </c>
      <c r="F39" t="s">
        <v>0</v>
      </c>
      <c r="G39" s="2">
        <v>5</v>
      </c>
      <c r="H39">
        <v>5.4883333333299996E-4</v>
      </c>
      <c r="I39">
        <v>5.31E-4</v>
      </c>
      <c r="J39">
        <v>1080</v>
      </c>
      <c r="K39">
        <v>24171</v>
      </c>
      <c r="L39">
        <f t="shared" si="0"/>
        <v>4.9166666666666669E-7</v>
      </c>
      <c r="M39" s="3">
        <f t="shared" si="1"/>
        <v>1.6246583662020156E-2</v>
      </c>
    </row>
    <row r="40" spans="2:13" x14ac:dyDescent="0.25">
      <c r="B40">
        <v>2</v>
      </c>
      <c r="C40">
        <v>6</v>
      </c>
      <c r="D40" s="2">
        <v>12</v>
      </c>
      <c r="E40" t="s">
        <v>23</v>
      </c>
      <c r="F40" t="s">
        <v>22</v>
      </c>
      <c r="G40" s="2">
        <v>2</v>
      </c>
      <c r="H40">
        <v>5.4424500000000001E-2</v>
      </c>
      <c r="I40">
        <v>5.3504999999999997E-2</v>
      </c>
      <c r="J40">
        <v>18216</v>
      </c>
      <c r="K40">
        <v>25967</v>
      </c>
      <c r="L40">
        <f t="shared" si="0"/>
        <v>2.9372529644268774E-6</v>
      </c>
      <c r="M40" s="3">
        <f t="shared" si="1"/>
        <v>8.4474822919825051E-3</v>
      </c>
    </row>
    <row r="41" spans="2:13" x14ac:dyDescent="0.25">
      <c r="B41">
        <v>3</v>
      </c>
      <c r="C41">
        <v>6</v>
      </c>
      <c r="D41" s="2">
        <v>8</v>
      </c>
      <c r="E41" t="s">
        <v>23</v>
      </c>
      <c r="F41" t="s">
        <v>22</v>
      </c>
      <c r="G41" s="2">
        <v>3</v>
      </c>
      <c r="H41">
        <v>0.22553583333300001</v>
      </c>
      <c r="I41" s="3">
        <v>0.22160099999999999</v>
      </c>
      <c r="J41">
        <v>5040</v>
      </c>
      <c r="K41">
        <v>24310</v>
      </c>
      <c r="L41">
        <f t="shared" si="0"/>
        <v>4.3968452380952376E-5</v>
      </c>
      <c r="M41" s="3">
        <f t="shared" si="1"/>
        <v>8.7232996966612776E-3</v>
      </c>
    </row>
    <row r="42" spans="2:13" x14ac:dyDescent="0.25">
      <c r="B42">
        <v>1</v>
      </c>
      <c r="C42">
        <v>6</v>
      </c>
      <c r="D42" s="2">
        <v>72</v>
      </c>
      <c r="E42" t="s">
        <v>24</v>
      </c>
      <c r="F42" t="s">
        <v>13</v>
      </c>
      <c r="G42" s="2">
        <v>1</v>
      </c>
      <c r="H42">
        <v>3.1598333333299998E-2</v>
      </c>
      <c r="I42">
        <v>3.1466000000000001E-2</v>
      </c>
      <c r="J42">
        <v>41472</v>
      </c>
      <c r="K42">
        <v>21025</v>
      </c>
      <c r="L42">
        <f t="shared" si="0"/>
        <v>7.5872878086419758E-7</v>
      </c>
      <c r="M42" s="3">
        <f t="shared" si="1"/>
        <v>2.093992298646606E-3</v>
      </c>
    </row>
    <row r="43" spans="2:13" x14ac:dyDescent="0.25">
      <c r="B43">
        <v>2</v>
      </c>
      <c r="C43">
        <v>6</v>
      </c>
      <c r="D43" s="2">
        <v>36</v>
      </c>
      <c r="E43" t="s">
        <v>24</v>
      </c>
      <c r="F43" t="s">
        <v>13</v>
      </c>
      <c r="G43" s="2">
        <v>2</v>
      </c>
      <c r="H43">
        <v>1.23365E-2</v>
      </c>
      <c r="I43">
        <v>1.2253E-2</v>
      </c>
      <c r="J43">
        <v>10368</v>
      </c>
      <c r="K43">
        <v>21025</v>
      </c>
      <c r="L43">
        <f t="shared" si="0"/>
        <v>1.181809413580247E-6</v>
      </c>
      <c r="M43" s="3">
        <f t="shared" si="1"/>
        <v>3.3842662019211382E-3</v>
      </c>
    </row>
    <row r="44" spans="2:13" x14ac:dyDescent="0.25">
      <c r="B44">
        <v>3</v>
      </c>
      <c r="C44">
        <v>6</v>
      </c>
      <c r="D44" s="2">
        <v>25</v>
      </c>
      <c r="E44" t="s">
        <v>24</v>
      </c>
      <c r="F44" t="s">
        <v>13</v>
      </c>
      <c r="G44" s="2">
        <v>3</v>
      </c>
      <c r="H44">
        <v>1.341E-2</v>
      </c>
      <c r="I44">
        <v>1.3362000000000001E-2</v>
      </c>
      <c r="J44">
        <v>5000</v>
      </c>
      <c r="K44">
        <v>22801</v>
      </c>
      <c r="L44">
        <f t="shared" si="0"/>
        <v>2.6724E-6</v>
      </c>
      <c r="M44" s="3">
        <f t="shared" si="1"/>
        <v>1.7897091722594866E-3</v>
      </c>
    </row>
    <row r="45" spans="2:13" x14ac:dyDescent="0.25">
      <c r="B45">
        <v>4</v>
      </c>
      <c r="C45">
        <v>6</v>
      </c>
      <c r="D45" s="2">
        <v>18</v>
      </c>
      <c r="E45" t="s">
        <v>24</v>
      </c>
      <c r="F45" t="s">
        <v>13</v>
      </c>
      <c r="G45" s="2">
        <v>4</v>
      </c>
      <c r="H45">
        <v>1.7643333333299999E-2</v>
      </c>
      <c r="I45">
        <v>1.7583999999999999E-2</v>
      </c>
      <c r="J45">
        <v>2592</v>
      </c>
      <c r="K45">
        <v>21025</v>
      </c>
      <c r="L45">
        <f t="shared" si="0"/>
        <v>6.7839506172839505E-6</v>
      </c>
      <c r="M45" s="3">
        <f t="shared" si="1"/>
        <v>1.6814660863436379E-3</v>
      </c>
    </row>
    <row r="46" spans="2:13" x14ac:dyDescent="0.25">
      <c r="B46">
        <v>5</v>
      </c>
      <c r="C46">
        <v>6</v>
      </c>
      <c r="D46" s="2">
        <v>15</v>
      </c>
      <c r="E46" t="s">
        <v>24</v>
      </c>
      <c r="F46" t="s">
        <v>13</v>
      </c>
      <c r="G46" s="2">
        <v>5</v>
      </c>
      <c r="H46">
        <v>2.3374333333299999E-2</v>
      </c>
      <c r="I46">
        <v>2.3317999999999998E-2</v>
      </c>
      <c r="J46">
        <v>1800</v>
      </c>
      <c r="K46">
        <v>22801</v>
      </c>
      <c r="L46">
        <f t="shared" si="0"/>
        <v>1.2954444444444443E-5</v>
      </c>
      <c r="M46" s="3">
        <f t="shared" si="1"/>
        <v>1.205025454560156E-3</v>
      </c>
    </row>
    <row r="47" spans="2:13" x14ac:dyDescent="0.25">
      <c r="B47">
        <v>1</v>
      </c>
      <c r="C47">
        <v>6</v>
      </c>
      <c r="D47" s="2">
        <v>72</v>
      </c>
      <c r="E47" t="s">
        <v>24</v>
      </c>
      <c r="F47" t="s">
        <v>0</v>
      </c>
      <c r="G47" s="2">
        <v>1</v>
      </c>
      <c r="H47">
        <v>2.6489333333299999E-2</v>
      </c>
      <c r="I47">
        <v>2.6405999999999999E-2</v>
      </c>
      <c r="J47">
        <v>41472</v>
      </c>
      <c r="K47">
        <v>21025</v>
      </c>
      <c r="L47">
        <f t="shared" si="0"/>
        <v>6.3671875000000002E-7</v>
      </c>
      <c r="M47" s="3">
        <f t="shared" si="1"/>
        <v>1.572960184604589E-3</v>
      </c>
    </row>
    <row r="48" spans="2:13" x14ac:dyDescent="0.25">
      <c r="B48">
        <v>2</v>
      </c>
      <c r="C48">
        <v>6</v>
      </c>
      <c r="D48" s="2">
        <v>36</v>
      </c>
      <c r="E48" t="s">
        <v>24</v>
      </c>
      <c r="F48" t="s">
        <v>0</v>
      </c>
      <c r="G48" s="2">
        <v>2</v>
      </c>
      <c r="H48">
        <v>5.4914999999999999E-3</v>
      </c>
      <c r="I48">
        <v>5.4460000000000003E-3</v>
      </c>
      <c r="J48">
        <v>10368</v>
      </c>
      <c r="K48">
        <v>21025</v>
      </c>
      <c r="L48">
        <f t="shared" si="0"/>
        <v>5.2527006172839508E-7</v>
      </c>
      <c r="M48" s="3">
        <f t="shared" si="1"/>
        <v>4.1427660930528579E-3</v>
      </c>
    </row>
    <row r="49" spans="2:13" x14ac:dyDescent="0.25">
      <c r="B49">
        <v>3</v>
      </c>
      <c r="C49">
        <v>6</v>
      </c>
      <c r="D49" s="2">
        <v>25</v>
      </c>
      <c r="E49" t="s">
        <v>24</v>
      </c>
      <c r="F49" t="s">
        <v>0</v>
      </c>
      <c r="G49" s="2">
        <v>3</v>
      </c>
      <c r="H49">
        <v>2.784E-3</v>
      </c>
      <c r="I49">
        <v>2.7529999999999998E-3</v>
      </c>
      <c r="J49">
        <v>5000</v>
      </c>
      <c r="K49">
        <v>22801</v>
      </c>
      <c r="L49">
        <f t="shared" si="0"/>
        <v>5.5059999999999997E-7</v>
      </c>
      <c r="M49" s="3">
        <f t="shared" si="1"/>
        <v>5.5675287356322222E-3</v>
      </c>
    </row>
    <row r="50" spans="2:13" x14ac:dyDescent="0.25">
      <c r="B50">
        <v>4</v>
      </c>
      <c r="C50">
        <v>6</v>
      </c>
      <c r="D50" s="2">
        <v>18</v>
      </c>
      <c r="E50" t="s">
        <v>24</v>
      </c>
      <c r="F50" t="s">
        <v>0</v>
      </c>
      <c r="G50" s="2">
        <v>4</v>
      </c>
      <c r="H50">
        <v>1.52933333333E-3</v>
      </c>
      <c r="I50">
        <v>1.495E-3</v>
      </c>
      <c r="J50">
        <v>2592</v>
      </c>
      <c r="K50">
        <v>21025</v>
      </c>
      <c r="L50">
        <f t="shared" si="0"/>
        <v>5.7677469135802465E-7</v>
      </c>
      <c r="M50" s="3">
        <f t="shared" si="1"/>
        <v>1.1224934610966051E-2</v>
      </c>
    </row>
    <row r="51" spans="2:13" x14ac:dyDescent="0.25">
      <c r="B51">
        <v>5</v>
      </c>
      <c r="C51">
        <v>6</v>
      </c>
      <c r="D51" s="2">
        <v>15</v>
      </c>
      <c r="E51" t="s">
        <v>24</v>
      </c>
      <c r="F51" t="s">
        <v>0</v>
      </c>
      <c r="G51" s="2">
        <v>5</v>
      </c>
      <c r="H51">
        <v>1.2423333333300001E-3</v>
      </c>
      <c r="I51">
        <v>1.217E-3</v>
      </c>
      <c r="J51">
        <v>1800</v>
      </c>
      <c r="K51">
        <v>22801</v>
      </c>
      <c r="L51">
        <f t="shared" si="0"/>
        <v>6.7611111111111107E-7</v>
      </c>
      <c r="M51" s="3">
        <f t="shared" si="1"/>
        <v>1.0195867989026591E-2</v>
      </c>
    </row>
    <row r="52" spans="2:13" x14ac:dyDescent="0.25">
      <c r="B52">
        <v>2</v>
      </c>
      <c r="C52">
        <v>6</v>
      </c>
      <c r="D52" s="2">
        <v>36</v>
      </c>
      <c r="E52" t="s">
        <v>24</v>
      </c>
      <c r="F52" t="s">
        <v>22</v>
      </c>
      <c r="G52" s="2">
        <v>2</v>
      </c>
      <c r="H52">
        <v>7.9576666666700008E-3</v>
      </c>
      <c r="I52">
        <v>7.9150000000000002E-3</v>
      </c>
      <c r="J52">
        <v>10368</v>
      </c>
      <c r="K52">
        <v>21025</v>
      </c>
      <c r="L52">
        <f t="shared" si="0"/>
        <v>7.6340663580246917E-7</v>
      </c>
      <c r="M52" s="3">
        <f t="shared" si="1"/>
        <v>2.6808528465200945E-3</v>
      </c>
    </row>
    <row r="53" spans="2:13" x14ac:dyDescent="0.25">
      <c r="B53">
        <v>3</v>
      </c>
      <c r="C53">
        <v>6</v>
      </c>
      <c r="D53" s="2">
        <v>25</v>
      </c>
      <c r="E53" t="s">
        <v>24</v>
      </c>
      <c r="F53" t="s">
        <v>22</v>
      </c>
      <c r="G53" s="2">
        <v>3</v>
      </c>
      <c r="H53">
        <v>7.5301666666700001E-3</v>
      </c>
      <c r="I53">
        <v>7.4320000000000002E-3</v>
      </c>
      <c r="J53">
        <v>5000</v>
      </c>
      <c r="K53">
        <v>22801</v>
      </c>
      <c r="L53">
        <f t="shared" si="0"/>
        <v>1.4864000000000001E-6</v>
      </c>
      <c r="M53" s="3">
        <f t="shared" si="1"/>
        <v>6.5182266884280795E-3</v>
      </c>
    </row>
    <row r="54" spans="2:13" x14ac:dyDescent="0.25">
      <c r="B54">
        <v>4</v>
      </c>
      <c r="C54">
        <v>6</v>
      </c>
      <c r="D54" s="2">
        <v>18</v>
      </c>
      <c r="E54" t="s">
        <v>24</v>
      </c>
      <c r="F54" t="s">
        <v>22</v>
      </c>
      <c r="G54" s="2">
        <v>4</v>
      </c>
      <c r="H54">
        <v>9.5916666666699991E-3</v>
      </c>
      <c r="I54">
        <v>9.3989999999999994E-3</v>
      </c>
      <c r="J54">
        <v>2592</v>
      </c>
      <c r="K54">
        <v>21025</v>
      </c>
      <c r="L54">
        <f t="shared" si="0"/>
        <v>3.626157407407407E-6</v>
      </c>
      <c r="M54" s="3">
        <f t="shared" si="1"/>
        <v>1.0043440486703709E-2</v>
      </c>
    </row>
    <row r="55" spans="2:13" x14ac:dyDescent="0.25">
      <c r="B55">
        <v>5</v>
      </c>
      <c r="C55">
        <v>6</v>
      </c>
      <c r="D55" s="2">
        <v>15</v>
      </c>
      <c r="E55" t="s">
        <v>24</v>
      </c>
      <c r="F55" t="s">
        <v>22</v>
      </c>
      <c r="G55" s="2">
        <v>5</v>
      </c>
      <c r="H55">
        <v>1.6688833333299999E-2</v>
      </c>
      <c r="I55">
        <v>1.6275999999999999E-2</v>
      </c>
      <c r="J55">
        <v>1800</v>
      </c>
      <c r="K55">
        <v>22801</v>
      </c>
      <c r="L55">
        <f t="shared" si="0"/>
        <v>9.0422222222222207E-6</v>
      </c>
      <c r="M55" s="3">
        <f t="shared" si="1"/>
        <v>1.2368549827753827E-2</v>
      </c>
    </row>
    <row r="56" spans="2:13" x14ac:dyDescent="0.25">
      <c r="B56">
        <v>1</v>
      </c>
      <c r="C56">
        <v>6</v>
      </c>
      <c r="D56" s="2">
        <v>24</v>
      </c>
      <c r="E56" t="s">
        <v>14</v>
      </c>
      <c r="F56" t="s">
        <v>13</v>
      </c>
      <c r="G56" s="2">
        <v>1</v>
      </c>
      <c r="H56">
        <v>0.117737166667</v>
      </c>
      <c r="I56">
        <v>0.11706999999999999</v>
      </c>
      <c r="J56">
        <v>155664</v>
      </c>
      <c r="K56">
        <v>27672</v>
      </c>
      <c r="L56">
        <f t="shared" si="0"/>
        <v>7.520685579196217E-7</v>
      </c>
      <c r="M56" s="3">
        <f t="shared" si="1"/>
        <v>2.8332882720329832E-3</v>
      </c>
    </row>
    <row r="57" spans="2:13" x14ac:dyDescent="0.25">
      <c r="B57">
        <v>2</v>
      </c>
      <c r="C57">
        <v>6</v>
      </c>
      <c r="D57" s="2">
        <v>12</v>
      </c>
      <c r="E57" t="s">
        <v>14</v>
      </c>
      <c r="F57" t="s">
        <v>13</v>
      </c>
      <c r="G57" s="2">
        <v>2</v>
      </c>
      <c r="H57">
        <v>0.178561</v>
      </c>
      <c r="I57">
        <v>0.17810799999999999</v>
      </c>
      <c r="J57">
        <v>18216</v>
      </c>
      <c r="K57">
        <v>25967</v>
      </c>
      <c r="L57">
        <f t="shared" si="0"/>
        <v>9.777558190601669E-6</v>
      </c>
      <c r="M57" s="3">
        <f t="shared" si="1"/>
        <v>1.2684740788862321E-3</v>
      </c>
    </row>
    <row r="58" spans="2:13" x14ac:dyDescent="0.25">
      <c r="B58">
        <v>3</v>
      </c>
      <c r="C58">
        <v>6</v>
      </c>
      <c r="D58" s="2">
        <v>8</v>
      </c>
      <c r="E58" t="s">
        <v>14</v>
      </c>
      <c r="F58" t="s">
        <v>13</v>
      </c>
      <c r="G58" s="2">
        <v>4</v>
      </c>
      <c r="H58">
        <v>0.44210300000000002</v>
      </c>
      <c r="I58">
        <v>0.43553399999999998</v>
      </c>
      <c r="J58">
        <v>5040</v>
      </c>
      <c r="K58">
        <v>24310</v>
      </c>
      <c r="L58">
        <f t="shared" si="0"/>
        <v>8.6415476190476189E-5</v>
      </c>
      <c r="M58" s="3">
        <f t="shared" si="1"/>
        <v>7.4292642212335658E-3</v>
      </c>
    </row>
    <row r="59" spans="2:13" x14ac:dyDescent="0.25">
      <c r="B59">
        <v>4</v>
      </c>
      <c r="C59">
        <v>6</v>
      </c>
      <c r="D59" s="2">
        <v>6</v>
      </c>
      <c r="E59" t="s">
        <v>14</v>
      </c>
      <c r="F59" t="s">
        <v>13</v>
      </c>
      <c r="G59" s="2">
        <v>6</v>
      </c>
      <c r="H59">
        <v>1.11171966667</v>
      </c>
      <c r="I59">
        <v>1.1102879999999999</v>
      </c>
      <c r="J59">
        <v>1980</v>
      </c>
      <c r="K59">
        <v>22701</v>
      </c>
      <c r="L59">
        <f t="shared" si="0"/>
        <v>5.6075151515151515E-4</v>
      </c>
      <c r="M59" s="3">
        <f t="shared" si="1"/>
        <v>6.438973389255629E-4</v>
      </c>
    </row>
    <row r="60" spans="2:13" x14ac:dyDescent="0.25">
      <c r="B60">
        <v>5</v>
      </c>
      <c r="C60">
        <v>6</v>
      </c>
      <c r="D60" s="2">
        <v>5</v>
      </c>
      <c r="E60" t="s">
        <v>14</v>
      </c>
      <c r="F60" t="s">
        <v>13</v>
      </c>
      <c r="G60" s="2">
        <v>8</v>
      </c>
      <c r="H60">
        <v>2.93877066667</v>
      </c>
      <c r="I60">
        <v>2.933859</v>
      </c>
      <c r="J60">
        <v>1080</v>
      </c>
      <c r="K60">
        <v>24171</v>
      </c>
      <c r="L60">
        <f t="shared" si="0"/>
        <v>2.7165361111111111E-3</v>
      </c>
      <c r="M60" s="3">
        <f t="shared" si="1"/>
        <v>8.3566688712827036E-4</v>
      </c>
    </row>
    <row r="61" spans="2:13" x14ac:dyDescent="0.25">
      <c r="B61">
        <v>1</v>
      </c>
      <c r="C61">
        <v>6</v>
      </c>
      <c r="D61" s="2">
        <v>24</v>
      </c>
      <c r="E61" t="s">
        <v>14</v>
      </c>
      <c r="F61" t="s">
        <v>12</v>
      </c>
      <c r="G61" s="2">
        <v>1</v>
      </c>
      <c r="H61">
        <v>0.116601166667</v>
      </c>
      <c r="I61">
        <v>0.11597</v>
      </c>
      <c r="J61">
        <v>155664</v>
      </c>
      <c r="K61">
        <v>27672</v>
      </c>
      <c r="L61">
        <f t="shared" si="0"/>
        <v>7.4500205570973378E-7</v>
      </c>
      <c r="M61" s="3">
        <f t="shared" si="1"/>
        <v>2.7065195188078236E-3</v>
      </c>
    </row>
    <row r="62" spans="2:13" x14ac:dyDescent="0.25">
      <c r="B62">
        <v>2</v>
      </c>
      <c r="C62">
        <v>6</v>
      </c>
      <c r="D62" s="2">
        <v>12</v>
      </c>
      <c r="E62" t="s">
        <v>14</v>
      </c>
      <c r="F62" t="s">
        <v>12</v>
      </c>
      <c r="G62" s="2">
        <v>2</v>
      </c>
      <c r="H62">
        <v>0.33267449999999998</v>
      </c>
      <c r="I62">
        <v>0.331096</v>
      </c>
      <c r="J62">
        <v>18216</v>
      </c>
      <c r="K62">
        <v>25967</v>
      </c>
      <c r="L62">
        <f t="shared" si="0"/>
        <v>1.8176108915239349E-5</v>
      </c>
      <c r="M62" s="3">
        <f t="shared" si="1"/>
        <v>2.3724391259323796E-3</v>
      </c>
    </row>
    <row r="63" spans="2:13" x14ac:dyDescent="0.25">
      <c r="B63">
        <v>3</v>
      </c>
      <c r="C63">
        <v>6</v>
      </c>
      <c r="D63" s="2">
        <v>8</v>
      </c>
      <c r="E63" t="s">
        <v>14</v>
      </c>
      <c r="F63" t="s">
        <v>12</v>
      </c>
      <c r="G63" s="2">
        <v>4</v>
      </c>
      <c r="H63">
        <v>0.77392749999999999</v>
      </c>
      <c r="I63">
        <v>0.77161900000000005</v>
      </c>
      <c r="J63">
        <v>5040</v>
      </c>
      <c r="K63">
        <v>24310</v>
      </c>
      <c r="L63">
        <f t="shared" si="0"/>
        <v>1.5309900793650794E-4</v>
      </c>
      <c r="M63" s="3">
        <f t="shared" si="1"/>
        <v>1.491418769845971E-3</v>
      </c>
    </row>
    <row r="64" spans="2:13" x14ac:dyDescent="0.25">
      <c r="B64">
        <v>4</v>
      </c>
      <c r="C64">
        <v>6</v>
      </c>
      <c r="D64" s="2">
        <v>6</v>
      </c>
      <c r="E64" t="s">
        <v>14</v>
      </c>
      <c r="F64" t="s">
        <v>12</v>
      </c>
      <c r="G64" s="2">
        <v>6</v>
      </c>
      <c r="H64">
        <v>1.8529343333299999</v>
      </c>
      <c r="I64">
        <v>1.8471470000000001</v>
      </c>
      <c r="J64">
        <v>1980</v>
      </c>
      <c r="K64">
        <v>22701</v>
      </c>
      <c r="L64">
        <f t="shared" si="0"/>
        <v>9.3290252525252528E-4</v>
      </c>
      <c r="M64" s="3">
        <f t="shared" si="1"/>
        <v>1.5616671421914633E-3</v>
      </c>
    </row>
    <row r="65" spans="2:13" x14ac:dyDescent="0.25">
      <c r="B65">
        <v>5</v>
      </c>
      <c r="C65">
        <v>6</v>
      </c>
      <c r="D65" s="2">
        <v>5</v>
      </c>
      <c r="E65" t="s">
        <v>14</v>
      </c>
      <c r="F65" t="s">
        <v>12</v>
      </c>
      <c r="G65" s="2">
        <v>8</v>
      </c>
      <c r="H65">
        <v>4.6373696666699997</v>
      </c>
      <c r="I65">
        <v>4.6074520000000003</v>
      </c>
      <c r="J65">
        <v>1080</v>
      </c>
      <c r="K65">
        <v>24171</v>
      </c>
      <c r="L65">
        <f t="shared" si="0"/>
        <v>4.2661592592592593E-3</v>
      </c>
      <c r="M65" s="3">
        <f t="shared" si="1"/>
        <v>3.2257150950274214E-3</v>
      </c>
    </row>
    <row r="66" spans="2:13" x14ac:dyDescent="0.25">
      <c r="B66">
        <v>1</v>
      </c>
      <c r="C66">
        <v>6</v>
      </c>
      <c r="D66" s="2">
        <v>24</v>
      </c>
      <c r="E66" t="s">
        <v>14</v>
      </c>
      <c r="F66" t="s">
        <v>0</v>
      </c>
      <c r="G66" s="2">
        <v>1</v>
      </c>
      <c r="H66">
        <v>0.117416833333</v>
      </c>
      <c r="I66">
        <v>0.117217</v>
      </c>
      <c r="J66">
        <v>155664</v>
      </c>
      <c r="K66">
        <v>27672</v>
      </c>
      <c r="L66">
        <f t="shared" si="0"/>
        <v>7.5301289957857954E-7</v>
      </c>
      <c r="M66" s="3">
        <f t="shared" si="1"/>
        <v>8.5095691702595044E-4</v>
      </c>
    </row>
    <row r="67" spans="2:13" x14ac:dyDescent="0.25">
      <c r="B67">
        <v>2</v>
      </c>
      <c r="C67">
        <v>6</v>
      </c>
      <c r="D67" s="2">
        <v>12</v>
      </c>
      <c r="E67" t="s">
        <v>14</v>
      </c>
      <c r="F67" t="s">
        <v>0</v>
      </c>
      <c r="G67" s="2">
        <v>2</v>
      </c>
      <c r="H67">
        <v>5.9042333333300001E-2</v>
      </c>
      <c r="I67">
        <v>5.8879000000000001E-2</v>
      </c>
      <c r="J67">
        <v>18216</v>
      </c>
      <c r="K67">
        <v>25967</v>
      </c>
      <c r="L67">
        <f t="shared" si="0"/>
        <v>3.232268335529205E-6</v>
      </c>
      <c r="M67" s="3">
        <f t="shared" si="1"/>
        <v>1.3831883335128964E-3</v>
      </c>
    </row>
    <row r="68" spans="2:13" x14ac:dyDescent="0.25">
      <c r="B68">
        <v>3</v>
      </c>
      <c r="C68">
        <v>6</v>
      </c>
      <c r="D68" s="2">
        <v>8</v>
      </c>
      <c r="E68" t="s">
        <v>14</v>
      </c>
      <c r="F68" t="s">
        <v>0</v>
      </c>
      <c r="G68" s="2">
        <v>4</v>
      </c>
      <c r="H68">
        <v>5.7964166666699998E-2</v>
      </c>
      <c r="I68">
        <v>5.7574E-2</v>
      </c>
      <c r="J68">
        <v>5040</v>
      </c>
      <c r="K68">
        <v>24310</v>
      </c>
      <c r="L68">
        <f t="shared" ref="L68:L131" si="2">I68/J68</f>
        <v>1.1423412698412698E-5</v>
      </c>
      <c r="M68" s="3">
        <f t="shared" si="1"/>
        <v>3.3655850600207635E-3</v>
      </c>
    </row>
    <row r="69" spans="2:13" x14ac:dyDescent="0.25">
      <c r="B69">
        <v>4</v>
      </c>
      <c r="C69">
        <v>6</v>
      </c>
      <c r="D69" s="2">
        <v>6</v>
      </c>
      <c r="E69" t="s">
        <v>14</v>
      </c>
      <c r="F69" t="s">
        <v>0</v>
      </c>
      <c r="G69" s="2">
        <v>6</v>
      </c>
      <c r="H69">
        <v>7.0796499999999998E-2</v>
      </c>
      <c r="I69">
        <v>7.0691000000000004E-2</v>
      </c>
      <c r="J69">
        <v>1980</v>
      </c>
      <c r="K69">
        <v>22701</v>
      </c>
      <c r="L69">
        <f t="shared" si="2"/>
        <v>3.5702525252525256E-5</v>
      </c>
      <c r="M69" s="3">
        <f t="shared" ref="M69:M132" si="3">(H69-I69)/(2*H69)</f>
        <v>7.450933308849625E-4</v>
      </c>
    </row>
    <row r="70" spans="2:13" x14ac:dyDescent="0.25">
      <c r="B70">
        <v>5</v>
      </c>
      <c r="C70">
        <v>6</v>
      </c>
      <c r="D70" s="2">
        <v>5</v>
      </c>
      <c r="E70" t="s">
        <v>14</v>
      </c>
      <c r="F70" t="s">
        <v>0</v>
      </c>
      <c r="G70" s="2">
        <v>8</v>
      </c>
      <c r="H70">
        <v>0.10044350000000001</v>
      </c>
      <c r="I70">
        <v>0.100175</v>
      </c>
      <c r="J70">
        <v>1080</v>
      </c>
      <c r="K70">
        <v>24171</v>
      </c>
      <c r="L70">
        <f t="shared" si="2"/>
        <v>9.2754629629629629E-5</v>
      </c>
      <c r="M70" s="3">
        <f t="shared" si="3"/>
        <v>1.3365723018413577E-3</v>
      </c>
    </row>
    <row r="71" spans="2:13" x14ac:dyDescent="0.25">
      <c r="B71">
        <v>1</v>
      </c>
      <c r="C71">
        <v>6</v>
      </c>
      <c r="D71" s="2">
        <v>24</v>
      </c>
      <c r="E71" t="s">
        <v>16</v>
      </c>
      <c r="F71" t="s">
        <v>13</v>
      </c>
      <c r="G71" s="2">
        <v>1</v>
      </c>
      <c r="H71">
        <v>5.8909000000000003E-2</v>
      </c>
      <c r="I71">
        <v>5.8804000000000002E-2</v>
      </c>
      <c r="J71">
        <v>155664</v>
      </c>
      <c r="K71">
        <v>27672</v>
      </c>
      <c r="L71">
        <f t="shared" si="2"/>
        <v>3.7776235995477442E-7</v>
      </c>
      <c r="M71" s="3">
        <f t="shared" si="3"/>
        <v>8.9120507902019149E-4</v>
      </c>
    </row>
    <row r="72" spans="2:13" x14ac:dyDescent="0.25">
      <c r="B72">
        <v>2</v>
      </c>
      <c r="C72">
        <v>6</v>
      </c>
      <c r="D72" s="2">
        <v>12</v>
      </c>
      <c r="E72" t="s">
        <v>16</v>
      </c>
      <c r="F72" t="s">
        <v>13</v>
      </c>
      <c r="G72" s="2">
        <v>2</v>
      </c>
      <c r="H72">
        <v>5.6505166666700003E-2</v>
      </c>
      <c r="I72">
        <v>5.6370999999999997E-2</v>
      </c>
      <c r="J72">
        <v>18216</v>
      </c>
      <c r="K72">
        <v>25967</v>
      </c>
      <c r="L72">
        <f t="shared" si="2"/>
        <v>3.0945871761089149E-6</v>
      </c>
      <c r="M72" s="3">
        <f t="shared" si="3"/>
        <v>1.1872070698543196E-3</v>
      </c>
    </row>
    <row r="73" spans="2:13" x14ac:dyDescent="0.25">
      <c r="B73">
        <v>3</v>
      </c>
      <c r="C73">
        <v>6</v>
      </c>
      <c r="D73" s="2">
        <v>8</v>
      </c>
      <c r="E73" t="s">
        <v>16</v>
      </c>
      <c r="F73" t="s">
        <v>13</v>
      </c>
      <c r="G73" s="2">
        <v>4</v>
      </c>
      <c r="H73">
        <v>9.6505499999999994E-2</v>
      </c>
      <c r="I73">
        <v>9.6141000000000004E-2</v>
      </c>
      <c r="J73">
        <v>5040</v>
      </c>
      <c r="K73">
        <v>24310</v>
      </c>
      <c r="L73">
        <f t="shared" si="2"/>
        <v>1.9075595238095239E-5</v>
      </c>
      <c r="M73" s="3">
        <f t="shared" si="3"/>
        <v>1.8884934019304073E-3</v>
      </c>
    </row>
    <row r="74" spans="2:13" x14ac:dyDescent="0.25">
      <c r="B74">
        <v>4</v>
      </c>
      <c r="C74">
        <v>6</v>
      </c>
      <c r="D74" s="2">
        <v>6</v>
      </c>
      <c r="E74" t="s">
        <v>16</v>
      </c>
      <c r="F74" t="s">
        <v>13</v>
      </c>
      <c r="G74" s="2">
        <v>6</v>
      </c>
      <c r="H74">
        <v>0.19685283333299999</v>
      </c>
      <c r="I74">
        <v>0.19653100000000001</v>
      </c>
      <c r="J74">
        <v>1980</v>
      </c>
      <c r="K74">
        <v>22701</v>
      </c>
      <c r="L74">
        <f t="shared" si="2"/>
        <v>9.9258080808080812E-5</v>
      </c>
      <c r="M74" s="3">
        <f t="shared" si="3"/>
        <v>8.1744653493394967E-4</v>
      </c>
    </row>
    <row r="75" spans="2:13" x14ac:dyDescent="0.25">
      <c r="B75">
        <v>5</v>
      </c>
      <c r="C75">
        <v>6</v>
      </c>
      <c r="D75" s="2">
        <v>5</v>
      </c>
      <c r="E75" t="s">
        <v>16</v>
      </c>
      <c r="F75" t="s">
        <v>13</v>
      </c>
      <c r="G75" s="2">
        <v>8</v>
      </c>
      <c r="H75">
        <v>0.43212600000000001</v>
      </c>
      <c r="I75">
        <v>0.43064599999999997</v>
      </c>
      <c r="J75">
        <v>1080</v>
      </c>
      <c r="K75">
        <v>24171</v>
      </c>
      <c r="L75">
        <f t="shared" si="2"/>
        <v>3.9874629629629626E-4</v>
      </c>
      <c r="M75" s="3">
        <f t="shared" si="3"/>
        <v>1.7124634944437928E-3</v>
      </c>
    </row>
    <row r="76" spans="2:13" x14ac:dyDescent="0.25">
      <c r="B76">
        <v>1</v>
      </c>
      <c r="C76">
        <v>6</v>
      </c>
      <c r="D76" s="2">
        <v>24</v>
      </c>
      <c r="E76" t="s">
        <v>16</v>
      </c>
      <c r="F76" t="s">
        <v>12</v>
      </c>
      <c r="G76" s="2">
        <v>1</v>
      </c>
      <c r="H76">
        <v>6.1999333333300002E-2</v>
      </c>
      <c r="I76">
        <v>6.1529E-2</v>
      </c>
      <c r="J76">
        <v>155664</v>
      </c>
      <c r="K76">
        <v>27672</v>
      </c>
      <c r="L76">
        <f t="shared" si="2"/>
        <v>3.9526801315654229E-7</v>
      </c>
      <c r="M76" s="3">
        <f t="shared" si="3"/>
        <v>3.7930515379218182E-3</v>
      </c>
    </row>
    <row r="77" spans="2:13" x14ac:dyDescent="0.25">
      <c r="B77">
        <v>2</v>
      </c>
      <c r="C77">
        <v>6</v>
      </c>
      <c r="D77" s="2">
        <v>12</v>
      </c>
      <c r="E77" t="s">
        <v>16</v>
      </c>
      <c r="F77" t="s">
        <v>12</v>
      </c>
      <c r="G77" s="2">
        <v>2</v>
      </c>
      <c r="H77">
        <v>8.46988333333E-2</v>
      </c>
      <c r="I77">
        <v>8.4564E-2</v>
      </c>
      <c r="J77">
        <v>18216</v>
      </c>
      <c r="K77">
        <v>25967</v>
      </c>
      <c r="L77">
        <f t="shared" si="2"/>
        <v>4.6422924901185771E-6</v>
      </c>
      <c r="M77" s="3">
        <f t="shared" si="3"/>
        <v>7.9595744116931551E-4</v>
      </c>
    </row>
    <row r="78" spans="2:13" x14ac:dyDescent="0.25">
      <c r="B78">
        <v>3</v>
      </c>
      <c r="C78">
        <v>6</v>
      </c>
      <c r="D78" s="2">
        <v>8</v>
      </c>
      <c r="E78" t="s">
        <v>16</v>
      </c>
      <c r="F78" t="s">
        <v>12</v>
      </c>
      <c r="G78" s="2">
        <v>4</v>
      </c>
      <c r="H78">
        <v>0.12288499999999999</v>
      </c>
      <c r="I78">
        <v>0.122097</v>
      </c>
      <c r="J78">
        <v>5040</v>
      </c>
      <c r="K78">
        <v>24310</v>
      </c>
      <c r="L78">
        <f t="shared" si="2"/>
        <v>2.4225595238095239E-5</v>
      </c>
      <c r="M78" s="3">
        <f t="shared" si="3"/>
        <v>3.2062497456971845E-3</v>
      </c>
    </row>
    <row r="79" spans="2:13" x14ac:dyDescent="0.25">
      <c r="B79">
        <v>4</v>
      </c>
      <c r="C79">
        <v>6</v>
      </c>
      <c r="D79" s="2">
        <v>6</v>
      </c>
      <c r="E79" t="s">
        <v>16</v>
      </c>
      <c r="F79" t="s">
        <v>12</v>
      </c>
      <c r="G79" s="2">
        <v>6</v>
      </c>
      <c r="H79">
        <v>0.2184355</v>
      </c>
      <c r="I79">
        <v>0.21784899999999999</v>
      </c>
      <c r="J79">
        <v>1980</v>
      </c>
      <c r="K79">
        <v>22701</v>
      </c>
      <c r="L79">
        <f t="shared" si="2"/>
        <v>1.1002474747474746E-4</v>
      </c>
      <c r="M79" s="3">
        <f t="shared" si="3"/>
        <v>1.3425015622461037E-3</v>
      </c>
    </row>
    <row r="80" spans="2:13" x14ac:dyDescent="0.25">
      <c r="B80">
        <v>5</v>
      </c>
      <c r="C80">
        <v>6</v>
      </c>
      <c r="D80" s="2">
        <v>5</v>
      </c>
      <c r="E80" t="s">
        <v>16</v>
      </c>
      <c r="F80" t="s">
        <v>12</v>
      </c>
      <c r="G80" s="2">
        <v>8</v>
      </c>
      <c r="H80">
        <v>0.42624766666699998</v>
      </c>
      <c r="I80">
        <v>0.42550100000000002</v>
      </c>
      <c r="J80">
        <v>1080</v>
      </c>
      <c r="K80">
        <v>24171</v>
      </c>
      <c r="L80">
        <f t="shared" si="2"/>
        <v>3.9398240740740742E-4</v>
      </c>
      <c r="M80" s="3">
        <f t="shared" si="3"/>
        <v>8.7586012240072281E-4</v>
      </c>
    </row>
    <row r="81" spans="2:13" x14ac:dyDescent="0.25">
      <c r="B81">
        <v>1</v>
      </c>
      <c r="C81">
        <v>6</v>
      </c>
      <c r="D81" s="2">
        <v>24</v>
      </c>
      <c r="E81" t="s">
        <v>16</v>
      </c>
      <c r="F81" t="s">
        <v>0</v>
      </c>
      <c r="G81" s="2">
        <v>1</v>
      </c>
      <c r="H81">
        <v>5.8978999999999997E-2</v>
      </c>
      <c r="I81">
        <v>5.8762000000000002E-2</v>
      </c>
      <c r="J81">
        <v>155664</v>
      </c>
      <c r="K81">
        <v>27672</v>
      </c>
      <c r="L81">
        <f t="shared" si="2"/>
        <v>3.7749254805221503E-7</v>
      </c>
      <c r="M81" s="3">
        <f t="shared" si="3"/>
        <v>1.8396378371962477E-3</v>
      </c>
    </row>
    <row r="82" spans="2:13" x14ac:dyDescent="0.25">
      <c r="B82">
        <v>2</v>
      </c>
      <c r="C82">
        <v>6</v>
      </c>
      <c r="D82" s="2">
        <v>12</v>
      </c>
      <c r="E82" t="s">
        <v>16</v>
      </c>
      <c r="F82" t="s">
        <v>0</v>
      </c>
      <c r="G82" s="2">
        <v>2</v>
      </c>
      <c r="H82">
        <v>1.08655E-2</v>
      </c>
      <c r="I82">
        <v>1.0827E-2</v>
      </c>
      <c r="J82">
        <v>18216</v>
      </c>
      <c r="K82">
        <v>25967</v>
      </c>
      <c r="L82">
        <f t="shared" si="2"/>
        <v>5.9436758893280629E-7</v>
      </c>
      <c r="M82" s="3">
        <f t="shared" si="3"/>
        <v>1.7716626018130937E-3</v>
      </c>
    </row>
    <row r="83" spans="2:13" x14ac:dyDescent="0.25">
      <c r="B83">
        <v>3</v>
      </c>
      <c r="C83">
        <v>6</v>
      </c>
      <c r="D83" s="2">
        <v>8</v>
      </c>
      <c r="E83" t="s">
        <v>16</v>
      </c>
      <c r="F83" t="s">
        <v>0</v>
      </c>
      <c r="G83" s="2">
        <v>4</v>
      </c>
      <c r="H83">
        <v>7.1596666666699999E-3</v>
      </c>
      <c r="I83">
        <v>7.1079999999999997E-3</v>
      </c>
      <c r="J83">
        <v>5040</v>
      </c>
      <c r="K83">
        <v>24310</v>
      </c>
      <c r="L83">
        <f t="shared" si="2"/>
        <v>1.4103174603174602E-6</v>
      </c>
      <c r="M83" s="3">
        <f t="shared" si="3"/>
        <v>3.6081754273925293E-3</v>
      </c>
    </row>
    <row r="84" spans="2:13" x14ac:dyDescent="0.25">
      <c r="B84">
        <v>4</v>
      </c>
      <c r="C84">
        <v>6</v>
      </c>
      <c r="D84" s="2">
        <v>6</v>
      </c>
      <c r="E84" t="s">
        <v>16</v>
      </c>
      <c r="F84" t="s">
        <v>0</v>
      </c>
      <c r="G84" s="2">
        <v>6</v>
      </c>
      <c r="H84">
        <v>6.6334999999999996E-3</v>
      </c>
      <c r="I84">
        <v>6.6080000000000002E-3</v>
      </c>
      <c r="J84">
        <v>1980</v>
      </c>
      <c r="K84">
        <v>22701</v>
      </c>
      <c r="L84">
        <f t="shared" si="2"/>
        <v>3.3373737373737375E-6</v>
      </c>
      <c r="M84" s="3">
        <f t="shared" si="3"/>
        <v>1.9220622597421785E-3</v>
      </c>
    </row>
    <row r="85" spans="2:13" x14ac:dyDescent="0.25">
      <c r="B85">
        <v>5</v>
      </c>
      <c r="C85">
        <v>6</v>
      </c>
      <c r="D85" s="2">
        <v>5</v>
      </c>
      <c r="E85" t="s">
        <v>16</v>
      </c>
      <c r="F85" t="s">
        <v>0</v>
      </c>
      <c r="G85" s="2">
        <v>8</v>
      </c>
      <c r="H85">
        <v>8.7308333333299994E-3</v>
      </c>
      <c r="I85">
        <v>8.6759999999999997E-3</v>
      </c>
      <c r="J85">
        <v>1080</v>
      </c>
      <c r="K85">
        <v>24171</v>
      </c>
      <c r="L85">
        <f t="shared" si="2"/>
        <v>8.0333333333333332E-6</v>
      </c>
      <c r="M85" s="3">
        <f t="shared" si="3"/>
        <v>3.1402118925276672E-3</v>
      </c>
    </row>
    <row r="86" spans="2:13" x14ac:dyDescent="0.25">
      <c r="B86">
        <v>1</v>
      </c>
      <c r="C86">
        <v>6</v>
      </c>
      <c r="D86" s="2">
        <v>24</v>
      </c>
      <c r="E86" t="s">
        <v>19</v>
      </c>
      <c r="F86" t="s">
        <v>13</v>
      </c>
      <c r="G86" s="2">
        <v>1</v>
      </c>
      <c r="H86">
        <v>5.8868666666700001E-2</v>
      </c>
      <c r="I86">
        <v>5.8741000000000002E-2</v>
      </c>
      <c r="J86">
        <v>155664</v>
      </c>
      <c r="K86">
        <v>27672</v>
      </c>
      <c r="L86">
        <f t="shared" si="2"/>
        <v>3.7735764210093537E-7</v>
      </c>
      <c r="M86" s="3">
        <f t="shared" si="3"/>
        <v>1.0843346208503134E-3</v>
      </c>
    </row>
    <row r="87" spans="2:13" x14ac:dyDescent="0.25">
      <c r="B87">
        <v>2</v>
      </c>
      <c r="C87">
        <v>6</v>
      </c>
      <c r="D87" s="2">
        <v>12</v>
      </c>
      <c r="E87" t="s">
        <v>19</v>
      </c>
      <c r="F87" t="s">
        <v>13</v>
      </c>
      <c r="G87" s="2">
        <v>2</v>
      </c>
      <c r="H87">
        <v>5.6807499999999997E-2</v>
      </c>
      <c r="I87">
        <v>5.6652000000000001E-2</v>
      </c>
      <c r="J87">
        <v>18216</v>
      </c>
      <c r="K87">
        <v>25967</v>
      </c>
      <c r="L87">
        <f t="shared" si="2"/>
        <v>3.1100131752305665E-6</v>
      </c>
      <c r="M87" s="3">
        <f t="shared" si="3"/>
        <v>1.368657307573788E-3</v>
      </c>
    </row>
    <row r="88" spans="2:13" x14ac:dyDescent="0.25">
      <c r="B88">
        <v>3</v>
      </c>
      <c r="C88">
        <v>6</v>
      </c>
      <c r="D88" s="2">
        <v>8</v>
      </c>
      <c r="E88" t="s">
        <v>19</v>
      </c>
      <c r="F88" t="s">
        <v>13</v>
      </c>
      <c r="G88" s="2">
        <v>4</v>
      </c>
      <c r="H88">
        <v>9.6610166666699998E-2</v>
      </c>
      <c r="I88">
        <v>9.6019999999999994E-2</v>
      </c>
      <c r="J88">
        <v>5040</v>
      </c>
      <c r="K88">
        <v>24310</v>
      </c>
      <c r="L88">
        <f t="shared" si="2"/>
        <v>1.9051587301587301E-5</v>
      </c>
      <c r="M88" s="3">
        <f t="shared" si="3"/>
        <v>3.0543714345098267E-3</v>
      </c>
    </row>
    <row r="89" spans="2:13" x14ac:dyDescent="0.25">
      <c r="B89">
        <v>4</v>
      </c>
      <c r="C89">
        <v>6</v>
      </c>
      <c r="D89" s="2">
        <v>6</v>
      </c>
      <c r="E89" t="s">
        <v>19</v>
      </c>
      <c r="F89" t="s">
        <v>13</v>
      </c>
      <c r="G89" s="2">
        <v>6</v>
      </c>
      <c r="H89">
        <v>0.196683166667</v>
      </c>
      <c r="I89">
        <v>0.19630500000000001</v>
      </c>
      <c r="J89">
        <v>1980</v>
      </c>
      <c r="K89">
        <v>22701</v>
      </c>
      <c r="L89">
        <f t="shared" si="2"/>
        <v>9.9143939393939396E-5</v>
      </c>
      <c r="M89" s="3">
        <f t="shared" si="3"/>
        <v>9.6136002233546982E-4</v>
      </c>
    </row>
    <row r="90" spans="2:13" x14ac:dyDescent="0.25">
      <c r="B90">
        <v>5</v>
      </c>
      <c r="C90">
        <v>6</v>
      </c>
      <c r="D90" s="2">
        <v>5</v>
      </c>
      <c r="E90" t="s">
        <v>19</v>
      </c>
      <c r="F90" t="s">
        <v>13</v>
      </c>
      <c r="G90" s="2">
        <v>8</v>
      </c>
      <c r="H90">
        <v>0.43140883333300001</v>
      </c>
      <c r="I90">
        <v>0.43073</v>
      </c>
      <c r="J90">
        <v>1080</v>
      </c>
      <c r="K90">
        <v>24171</v>
      </c>
      <c r="L90">
        <f t="shared" si="2"/>
        <v>3.9882407407407407E-4</v>
      </c>
      <c r="M90" s="3">
        <f t="shared" si="3"/>
        <v>7.8676336754099547E-4</v>
      </c>
    </row>
    <row r="91" spans="2:13" x14ac:dyDescent="0.25">
      <c r="B91">
        <v>1</v>
      </c>
      <c r="C91">
        <v>6</v>
      </c>
      <c r="D91" s="2">
        <v>24</v>
      </c>
      <c r="E91" t="s">
        <v>19</v>
      </c>
      <c r="F91" t="s">
        <v>12</v>
      </c>
      <c r="G91" s="2">
        <v>1</v>
      </c>
      <c r="H91">
        <v>5.8905166666700003E-2</v>
      </c>
      <c r="I91">
        <v>5.8837E-2</v>
      </c>
      <c r="J91">
        <v>155664</v>
      </c>
      <c r="K91">
        <v>27672</v>
      </c>
      <c r="L91">
        <f t="shared" si="2"/>
        <v>3.7797435502107101E-7</v>
      </c>
      <c r="M91" s="3">
        <f t="shared" si="3"/>
        <v>5.7861364764237122E-4</v>
      </c>
    </row>
    <row r="92" spans="2:13" x14ac:dyDescent="0.25">
      <c r="B92">
        <v>2</v>
      </c>
      <c r="C92">
        <v>6</v>
      </c>
      <c r="D92" s="2">
        <v>12</v>
      </c>
      <c r="E92" t="s">
        <v>19</v>
      </c>
      <c r="F92" t="s">
        <v>12</v>
      </c>
      <c r="G92" s="2">
        <v>2</v>
      </c>
      <c r="H92">
        <v>8.4964333333300002E-2</v>
      </c>
      <c r="I92">
        <v>8.4802000000000002E-2</v>
      </c>
      <c r="J92">
        <v>18216</v>
      </c>
      <c r="K92">
        <v>25967</v>
      </c>
      <c r="L92">
        <f t="shared" si="2"/>
        <v>4.655357927097058E-6</v>
      </c>
      <c r="M92" s="3">
        <f t="shared" si="3"/>
        <v>9.5530281314157122E-4</v>
      </c>
    </row>
    <row r="93" spans="2:13" x14ac:dyDescent="0.25">
      <c r="B93">
        <v>3</v>
      </c>
      <c r="C93">
        <v>6</v>
      </c>
      <c r="D93" s="2">
        <v>8</v>
      </c>
      <c r="E93" t="s">
        <v>19</v>
      </c>
      <c r="F93" t="s">
        <v>12</v>
      </c>
      <c r="G93" s="2">
        <v>4</v>
      </c>
      <c r="H93">
        <v>0.1229155</v>
      </c>
      <c r="I93">
        <v>0.122475</v>
      </c>
      <c r="J93">
        <v>5040</v>
      </c>
      <c r="K93">
        <v>24310</v>
      </c>
      <c r="L93">
        <f t="shared" si="2"/>
        <v>2.4300595238095238E-5</v>
      </c>
      <c r="M93" s="3">
        <f t="shared" si="3"/>
        <v>1.7918814144676483E-3</v>
      </c>
    </row>
    <row r="94" spans="2:13" x14ac:dyDescent="0.25">
      <c r="B94">
        <v>4</v>
      </c>
      <c r="C94">
        <v>6</v>
      </c>
      <c r="D94" s="2">
        <v>6</v>
      </c>
      <c r="E94" t="s">
        <v>19</v>
      </c>
      <c r="F94" t="s">
        <v>12</v>
      </c>
      <c r="G94" s="2">
        <v>6</v>
      </c>
      <c r="H94">
        <v>0.21855666666699999</v>
      </c>
      <c r="I94">
        <v>0.21764500000000001</v>
      </c>
      <c r="J94">
        <v>1980</v>
      </c>
      <c r="K94">
        <v>22701</v>
      </c>
      <c r="L94">
        <f t="shared" si="2"/>
        <v>1.0992171717171717E-4</v>
      </c>
      <c r="M94" s="3">
        <f t="shared" si="3"/>
        <v>2.0856528444154789E-3</v>
      </c>
    </row>
    <row r="95" spans="2:13" x14ac:dyDescent="0.25">
      <c r="B95">
        <v>5</v>
      </c>
      <c r="C95">
        <v>6</v>
      </c>
      <c r="D95" s="2">
        <v>5</v>
      </c>
      <c r="E95" t="s">
        <v>19</v>
      </c>
      <c r="F95" t="s">
        <v>12</v>
      </c>
      <c r="G95" s="2">
        <v>8</v>
      </c>
      <c r="H95">
        <v>0.42658400000000002</v>
      </c>
      <c r="I95">
        <v>0.42485299999999998</v>
      </c>
      <c r="J95">
        <v>1080</v>
      </c>
      <c r="K95">
        <v>24171</v>
      </c>
      <c r="L95">
        <f t="shared" si="2"/>
        <v>3.9338240740740741E-4</v>
      </c>
      <c r="M95" s="3">
        <f t="shared" si="3"/>
        <v>2.0289087260657195E-3</v>
      </c>
    </row>
    <row r="96" spans="2:13" x14ac:dyDescent="0.25">
      <c r="B96">
        <v>1</v>
      </c>
      <c r="C96">
        <v>6</v>
      </c>
      <c r="D96" s="2">
        <v>72</v>
      </c>
      <c r="E96" t="s">
        <v>17</v>
      </c>
      <c r="F96" t="s">
        <v>13</v>
      </c>
      <c r="G96" s="2">
        <v>1</v>
      </c>
      <c r="H96">
        <v>2.2290166666700001E-2</v>
      </c>
      <c r="I96">
        <v>2.2193999999999998E-2</v>
      </c>
      <c r="J96">
        <v>41472</v>
      </c>
      <c r="K96">
        <v>21025</v>
      </c>
      <c r="L96">
        <f t="shared" si="2"/>
        <v>5.3515624999999998E-7</v>
      </c>
      <c r="M96" s="3">
        <f t="shared" si="3"/>
        <v>2.1571545008604387E-3</v>
      </c>
    </row>
    <row r="97" spans="2:13" x14ac:dyDescent="0.25">
      <c r="B97">
        <v>1</v>
      </c>
      <c r="C97">
        <v>6</v>
      </c>
      <c r="D97" s="2">
        <v>24</v>
      </c>
      <c r="E97" t="s">
        <v>19</v>
      </c>
      <c r="F97" t="s">
        <v>0</v>
      </c>
      <c r="G97" s="2">
        <v>1</v>
      </c>
      <c r="H97">
        <v>5.9047000000000002E-2</v>
      </c>
      <c r="I97">
        <v>5.8950000000000002E-2</v>
      </c>
      <c r="J97">
        <v>155664</v>
      </c>
      <c r="K97">
        <v>27672</v>
      </c>
      <c r="L97">
        <f t="shared" si="2"/>
        <v>3.7870027752081406E-7</v>
      </c>
      <c r="M97" s="3">
        <f t="shared" si="3"/>
        <v>8.2137957897945586E-4</v>
      </c>
    </row>
    <row r="98" spans="2:13" x14ac:dyDescent="0.25">
      <c r="B98">
        <v>2</v>
      </c>
      <c r="C98">
        <v>6</v>
      </c>
      <c r="D98" s="2">
        <v>12</v>
      </c>
      <c r="E98" t="s">
        <v>19</v>
      </c>
      <c r="F98" t="s">
        <v>0</v>
      </c>
      <c r="G98" s="2">
        <v>2</v>
      </c>
      <c r="H98">
        <v>1.07683333333E-2</v>
      </c>
      <c r="I98">
        <v>1.069E-2</v>
      </c>
      <c r="J98">
        <v>18216</v>
      </c>
      <c r="K98">
        <v>25967</v>
      </c>
      <c r="L98">
        <f t="shared" si="2"/>
        <v>5.8684672815107598E-7</v>
      </c>
      <c r="M98" s="3">
        <f t="shared" si="3"/>
        <v>3.6372078610235011E-3</v>
      </c>
    </row>
    <row r="99" spans="2:13" x14ac:dyDescent="0.25">
      <c r="B99">
        <v>3</v>
      </c>
      <c r="C99">
        <v>6</v>
      </c>
      <c r="D99" s="2">
        <v>8</v>
      </c>
      <c r="E99" t="s">
        <v>19</v>
      </c>
      <c r="F99" t="s">
        <v>0</v>
      </c>
      <c r="G99" s="2">
        <v>4</v>
      </c>
      <c r="H99">
        <v>7.3241666666699996E-3</v>
      </c>
      <c r="I99">
        <v>7.2859999999999999E-3</v>
      </c>
      <c r="J99">
        <v>5040</v>
      </c>
      <c r="K99">
        <v>24310</v>
      </c>
      <c r="L99">
        <f t="shared" si="2"/>
        <v>1.4456349206349207E-6</v>
      </c>
      <c r="M99" s="3">
        <f t="shared" si="3"/>
        <v>2.6055296395482274E-3</v>
      </c>
    </row>
    <row r="100" spans="2:13" x14ac:dyDescent="0.25">
      <c r="B100">
        <v>4</v>
      </c>
      <c r="C100">
        <v>6</v>
      </c>
      <c r="D100" s="2">
        <v>6</v>
      </c>
      <c r="E100" t="s">
        <v>19</v>
      </c>
      <c r="F100" t="s">
        <v>0</v>
      </c>
      <c r="G100" s="2">
        <v>6</v>
      </c>
      <c r="H100">
        <v>6.7371666666699997E-3</v>
      </c>
      <c r="I100">
        <v>6.6800000000000002E-3</v>
      </c>
      <c r="J100">
        <v>1980</v>
      </c>
      <c r="K100">
        <v>22701</v>
      </c>
      <c r="L100">
        <f t="shared" si="2"/>
        <v>3.3737373737373739E-6</v>
      </c>
      <c r="M100" s="3">
        <f t="shared" si="3"/>
        <v>4.2426341441732154E-3</v>
      </c>
    </row>
    <row r="101" spans="2:13" x14ac:dyDescent="0.25">
      <c r="B101">
        <v>5</v>
      </c>
      <c r="C101">
        <v>6</v>
      </c>
      <c r="D101" s="2">
        <v>5</v>
      </c>
      <c r="E101" t="s">
        <v>19</v>
      </c>
      <c r="F101" t="s">
        <v>0</v>
      </c>
      <c r="G101" s="2">
        <v>8</v>
      </c>
      <c r="H101">
        <v>8.7434999999999995E-3</v>
      </c>
      <c r="I101">
        <v>8.6969999999999999E-3</v>
      </c>
      <c r="J101">
        <v>1080</v>
      </c>
      <c r="K101">
        <v>24171</v>
      </c>
      <c r="L101">
        <f t="shared" si="2"/>
        <v>8.0527777777777774E-6</v>
      </c>
      <c r="M101" s="3">
        <f t="shared" si="3"/>
        <v>2.6591182020929646E-3</v>
      </c>
    </row>
    <row r="102" spans="2:13" x14ac:dyDescent="0.25">
      <c r="B102">
        <v>2</v>
      </c>
      <c r="C102">
        <v>6</v>
      </c>
      <c r="D102" s="2">
        <v>36</v>
      </c>
      <c r="E102" t="s">
        <v>17</v>
      </c>
      <c r="F102" t="s">
        <v>13</v>
      </c>
      <c r="G102" s="2">
        <v>2</v>
      </c>
      <c r="H102">
        <v>1.9789500000000002E-2</v>
      </c>
      <c r="I102">
        <v>1.9723999999999998E-2</v>
      </c>
      <c r="J102">
        <v>10368</v>
      </c>
      <c r="K102">
        <v>21025</v>
      </c>
      <c r="L102">
        <f t="shared" si="2"/>
        <v>1.9023919753086419E-6</v>
      </c>
      <c r="M102" s="3">
        <f t="shared" si="3"/>
        <v>1.6549180120771887E-3</v>
      </c>
    </row>
    <row r="103" spans="2:13" x14ac:dyDescent="0.25">
      <c r="B103">
        <v>3</v>
      </c>
      <c r="C103">
        <v>6</v>
      </c>
      <c r="D103" s="2">
        <v>25</v>
      </c>
      <c r="E103" t="s">
        <v>17</v>
      </c>
      <c r="F103" t="s">
        <v>13</v>
      </c>
      <c r="G103" s="2">
        <v>4</v>
      </c>
      <c r="H103">
        <v>3.7862833333299997E-2</v>
      </c>
      <c r="I103">
        <v>3.7733000000000003E-2</v>
      </c>
      <c r="J103">
        <v>5000</v>
      </c>
      <c r="K103">
        <v>22801</v>
      </c>
      <c r="L103">
        <f t="shared" si="2"/>
        <v>7.5466000000000007E-6</v>
      </c>
      <c r="M103" s="3">
        <f t="shared" si="3"/>
        <v>1.7145221562936683E-3</v>
      </c>
    </row>
    <row r="104" spans="2:13" x14ac:dyDescent="0.25">
      <c r="B104">
        <v>4</v>
      </c>
      <c r="C104">
        <v>6</v>
      </c>
      <c r="D104" s="2">
        <v>18</v>
      </c>
      <c r="E104" t="s">
        <v>17</v>
      </c>
      <c r="F104" t="s">
        <v>13</v>
      </c>
      <c r="G104" s="2">
        <v>6</v>
      </c>
      <c r="H104">
        <v>7.3799333333299993E-2</v>
      </c>
      <c r="I104">
        <v>7.3539999999999994E-2</v>
      </c>
      <c r="J104">
        <v>2592</v>
      </c>
      <c r="K104">
        <v>21025</v>
      </c>
      <c r="L104">
        <f t="shared" si="2"/>
        <v>2.8371913580246911E-5</v>
      </c>
      <c r="M104" s="3">
        <f t="shared" si="3"/>
        <v>1.7570167749942391E-3</v>
      </c>
    </row>
    <row r="105" spans="2:13" x14ac:dyDescent="0.25">
      <c r="B105">
        <v>5</v>
      </c>
      <c r="C105">
        <v>6</v>
      </c>
      <c r="D105" s="2">
        <v>15</v>
      </c>
      <c r="E105" t="s">
        <v>17</v>
      </c>
      <c r="F105" t="s">
        <v>13</v>
      </c>
      <c r="G105" s="2">
        <v>8</v>
      </c>
      <c r="H105">
        <v>0.124324666667</v>
      </c>
      <c r="I105">
        <v>0.124099</v>
      </c>
      <c r="J105">
        <v>1800</v>
      </c>
      <c r="K105">
        <v>22801</v>
      </c>
      <c r="L105">
        <f t="shared" si="2"/>
        <v>6.8943888888888894E-5</v>
      </c>
      <c r="M105" s="3">
        <f t="shared" si="3"/>
        <v>9.0756996600054388E-4</v>
      </c>
    </row>
    <row r="106" spans="2:13" x14ac:dyDescent="0.25">
      <c r="B106">
        <v>1</v>
      </c>
      <c r="C106">
        <v>6</v>
      </c>
      <c r="D106" s="2">
        <v>72</v>
      </c>
      <c r="E106" t="s">
        <v>17</v>
      </c>
      <c r="F106" t="s">
        <v>12</v>
      </c>
      <c r="G106" s="2">
        <v>1</v>
      </c>
      <c r="H106">
        <v>2.2360499999999998E-2</v>
      </c>
      <c r="I106">
        <v>2.2162000000000001E-2</v>
      </c>
      <c r="J106">
        <v>41472</v>
      </c>
      <c r="K106">
        <v>21025</v>
      </c>
      <c r="L106">
        <f t="shared" si="2"/>
        <v>5.3438464506172839E-7</v>
      </c>
      <c r="M106" s="3">
        <f t="shared" si="3"/>
        <v>4.4386306209610099E-3</v>
      </c>
    </row>
    <row r="107" spans="2:13" x14ac:dyDescent="0.25">
      <c r="B107">
        <v>2</v>
      </c>
      <c r="C107">
        <v>6</v>
      </c>
      <c r="D107" s="2">
        <v>36</v>
      </c>
      <c r="E107" t="s">
        <v>17</v>
      </c>
      <c r="F107" t="s">
        <v>12</v>
      </c>
      <c r="G107" s="2">
        <v>2</v>
      </c>
      <c r="H107">
        <v>3.0523000000000002E-2</v>
      </c>
      <c r="I107">
        <v>2.9562999999999999E-2</v>
      </c>
      <c r="J107">
        <v>10368</v>
      </c>
      <c r="K107">
        <v>21025</v>
      </c>
      <c r="L107">
        <f t="shared" si="2"/>
        <v>2.8513695987654319E-6</v>
      </c>
      <c r="M107" s="3">
        <f t="shared" si="3"/>
        <v>1.5725846083281501E-2</v>
      </c>
    </row>
    <row r="108" spans="2:13" x14ac:dyDescent="0.25">
      <c r="B108">
        <v>3</v>
      </c>
      <c r="C108">
        <v>6</v>
      </c>
      <c r="D108" s="2">
        <v>25</v>
      </c>
      <c r="E108" t="s">
        <v>17</v>
      </c>
      <c r="F108" t="s">
        <v>12</v>
      </c>
      <c r="G108" s="2">
        <v>4</v>
      </c>
      <c r="H108">
        <v>5.2187166666700001E-2</v>
      </c>
      <c r="I108">
        <v>5.1698000000000001E-2</v>
      </c>
      <c r="J108">
        <v>5000</v>
      </c>
      <c r="K108">
        <v>22801</v>
      </c>
      <c r="L108">
        <f t="shared" si="2"/>
        <v>1.03396E-5</v>
      </c>
      <c r="M108" s="3">
        <f t="shared" si="3"/>
        <v>4.6866566815566488E-3</v>
      </c>
    </row>
    <row r="109" spans="2:13" x14ac:dyDescent="0.25">
      <c r="B109">
        <v>4</v>
      </c>
      <c r="C109">
        <v>6</v>
      </c>
      <c r="D109" s="2">
        <v>18</v>
      </c>
      <c r="E109" t="s">
        <v>17</v>
      </c>
      <c r="F109" t="s">
        <v>12</v>
      </c>
      <c r="G109" s="2">
        <v>6</v>
      </c>
      <c r="H109">
        <v>8.9205833333299997E-2</v>
      </c>
      <c r="I109">
        <v>8.8697999999999999E-2</v>
      </c>
      <c r="J109">
        <v>2592</v>
      </c>
      <c r="K109">
        <v>21025</v>
      </c>
      <c r="L109">
        <f t="shared" si="2"/>
        <v>3.4219907407407404E-5</v>
      </c>
      <c r="M109" s="3">
        <f t="shared" si="3"/>
        <v>2.846413257542132E-3</v>
      </c>
    </row>
    <row r="110" spans="2:13" x14ac:dyDescent="0.25">
      <c r="B110">
        <v>5</v>
      </c>
      <c r="C110">
        <v>6</v>
      </c>
      <c r="D110" s="2">
        <v>15</v>
      </c>
      <c r="E110" t="s">
        <v>17</v>
      </c>
      <c r="F110" t="s">
        <v>12</v>
      </c>
      <c r="G110" s="2">
        <v>8</v>
      </c>
      <c r="H110">
        <v>0.14326749999999999</v>
      </c>
      <c r="I110">
        <v>0.142037</v>
      </c>
      <c r="J110">
        <v>1800</v>
      </c>
      <c r="K110">
        <v>22801</v>
      </c>
      <c r="L110">
        <f t="shared" si="2"/>
        <v>7.8909444444444436E-5</v>
      </c>
      <c r="M110" s="3">
        <f t="shared" si="3"/>
        <v>4.2944142949377755E-3</v>
      </c>
    </row>
    <row r="111" spans="2:13" x14ac:dyDescent="0.25">
      <c r="B111">
        <v>1</v>
      </c>
      <c r="C111">
        <v>6</v>
      </c>
      <c r="D111" s="2">
        <v>72</v>
      </c>
      <c r="E111" t="s">
        <v>17</v>
      </c>
      <c r="F111" t="s">
        <v>0</v>
      </c>
      <c r="G111" s="2">
        <v>1</v>
      </c>
      <c r="H111">
        <v>2.22298333333E-2</v>
      </c>
      <c r="I111">
        <v>2.2053E-2</v>
      </c>
      <c r="J111">
        <v>41472</v>
      </c>
      <c r="K111">
        <v>21025</v>
      </c>
      <c r="L111">
        <f t="shared" si="2"/>
        <v>5.3175636574074073E-7</v>
      </c>
      <c r="M111" s="3">
        <f t="shared" si="3"/>
        <v>3.9773877439536606E-3</v>
      </c>
    </row>
    <row r="112" spans="2:13" x14ac:dyDescent="0.25">
      <c r="B112">
        <v>2</v>
      </c>
      <c r="C112">
        <v>6</v>
      </c>
      <c r="D112" s="2">
        <v>36</v>
      </c>
      <c r="E112" t="s">
        <v>17</v>
      </c>
      <c r="F112" t="s">
        <v>0</v>
      </c>
      <c r="G112" s="2">
        <v>2</v>
      </c>
      <c r="H112">
        <v>6.9020000000000001E-3</v>
      </c>
      <c r="I112">
        <v>6.8389999999999996E-3</v>
      </c>
      <c r="J112">
        <v>10368</v>
      </c>
      <c r="K112">
        <v>21025</v>
      </c>
      <c r="L112">
        <f t="shared" si="2"/>
        <v>6.5962577160493822E-7</v>
      </c>
      <c r="M112" s="3">
        <f t="shared" si="3"/>
        <v>4.5638945233266118E-3</v>
      </c>
    </row>
    <row r="113" spans="2:13" x14ac:dyDescent="0.25">
      <c r="B113">
        <v>3</v>
      </c>
      <c r="C113">
        <v>6</v>
      </c>
      <c r="D113" s="2">
        <v>25</v>
      </c>
      <c r="E113" t="s">
        <v>17</v>
      </c>
      <c r="F113" t="s">
        <v>0</v>
      </c>
      <c r="G113" s="2">
        <v>4</v>
      </c>
      <c r="H113">
        <v>7.293E-3</v>
      </c>
      <c r="I113">
        <v>7.26E-3</v>
      </c>
      <c r="J113">
        <v>5000</v>
      </c>
      <c r="K113">
        <v>22801</v>
      </c>
      <c r="L113">
        <f t="shared" si="2"/>
        <v>1.452E-6</v>
      </c>
      <c r="M113" s="3">
        <f t="shared" si="3"/>
        <v>2.26244343891403E-3</v>
      </c>
    </row>
    <row r="114" spans="2:13" x14ac:dyDescent="0.25">
      <c r="B114">
        <v>4</v>
      </c>
      <c r="C114">
        <v>6</v>
      </c>
      <c r="D114" s="2">
        <v>18</v>
      </c>
      <c r="E114" t="s">
        <v>17</v>
      </c>
      <c r="F114" t="s">
        <v>0</v>
      </c>
      <c r="G114" s="2">
        <v>6</v>
      </c>
      <c r="H114">
        <v>7.3223333333300002E-3</v>
      </c>
      <c r="I114">
        <v>7.2740000000000001E-3</v>
      </c>
      <c r="J114">
        <v>2592</v>
      </c>
      <c r="K114">
        <v>21025</v>
      </c>
      <c r="L114">
        <f t="shared" si="2"/>
        <v>2.8063271604938274E-6</v>
      </c>
      <c r="M114" s="3">
        <f t="shared" si="3"/>
        <v>3.3004051529582183E-3</v>
      </c>
    </row>
    <row r="115" spans="2:13" x14ac:dyDescent="0.25">
      <c r="B115">
        <v>5</v>
      </c>
      <c r="C115">
        <v>6</v>
      </c>
      <c r="D115" s="2">
        <v>15</v>
      </c>
      <c r="E115" t="s">
        <v>17</v>
      </c>
      <c r="F115" t="s">
        <v>0</v>
      </c>
      <c r="G115" s="2">
        <v>8</v>
      </c>
      <c r="H115">
        <v>9.9663333333299998E-3</v>
      </c>
      <c r="I115">
        <v>9.9229999999999995E-3</v>
      </c>
      <c r="J115">
        <v>1800</v>
      </c>
      <c r="K115">
        <v>22801</v>
      </c>
      <c r="M115" s="3">
        <f t="shared" si="3"/>
        <v>2.1739857518653541E-3</v>
      </c>
    </row>
    <row r="116" spans="2:13" x14ac:dyDescent="0.25">
      <c r="B116">
        <v>1</v>
      </c>
      <c r="C116">
        <v>6</v>
      </c>
      <c r="D116" s="2">
        <v>72</v>
      </c>
      <c r="E116" t="s">
        <v>15</v>
      </c>
      <c r="F116" t="s">
        <v>13</v>
      </c>
      <c r="G116" s="2">
        <v>1</v>
      </c>
      <c r="H116">
        <v>1.51233333333E-2</v>
      </c>
      <c r="I116">
        <v>1.5091E-2</v>
      </c>
      <c r="J116">
        <v>41472</v>
      </c>
      <c r="K116">
        <v>21025</v>
      </c>
      <c r="M116" s="3">
        <f t="shared" si="3"/>
        <v>1.0689883171722731E-3</v>
      </c>
    </row>
    <row r="117" spans="2:13" x14ac:dyDescent="0.25">
      <c r="B117">
        <v>2</v>
      </c>
      <c r="C117">
        <v>6</v>
      </c>
      <c r="D117" s="2">
        <v>36</v>
      </c>
      <c r="E117" t="s">
        <v>15</v>
      </c>
      <c r="F117" t="s">
        <v>13</v>
      </c>
      <c r="G117" s="2">
        <v>2</v>
      </c>
      <c r="H117">
        <v>1.1790333333300001E-2</v>
      </c>
      <c r="I117">
        <v>1.1767E-2</v>
      </c>
      <c r="J117">
        <v>10368</v>
      </c>
      <c r="K117">
        <v>21025</v>
      </c>
      <c r="M117" s="3">
        <f t="shared" si="3"/>
        <v>9.8951118006559589E-4</v>
      </c>
    </row>
    <row r="118" spans="2:13" x14ac:dyDescent="0.25">
      <c r="B118">
        <v>3</v>
      </c>
      <c r="C118">
        <v>6</v>
      </c>
      <c r="D118" s="2">
        <v>25</v>
      </c>
      <c r="E118" t="s">
        <v>15</v>
      </c>
      <c r="F118" t="s">
        <v>13</v>
      </c>
      <c r="G118" s="2">
        <v>4</v>
      </c>
      <c r="H118">
        <v>2.06965E-2</v>
      </c>
      <c r="I118">
        <v>2.0666E-2</v>
      </c>
      <c r="J118">
        <v>5000</v>
      </c>
      <c r="K118">
        <v>22801</v>
      </c>
      <c r="M118" s="3">
        <f t="shared" si="3"/>
        <v>7.3683956224480658E-4</v>
      </c>
    </row>
    <row r="119" spans="2:13" x14ac:dyDescent="0.25">
      <c r="B119">
        <v>4</v>
      </c>
      <c r="C119">
        <v>6</v>
      </c>
      <c r="D119" s="2">
        <v>18</v>
      </c>
      <c r="E119" t="s">
        <v>15</v>
      </c>
      <c r="F119" t="s">
        <v>13</v>
      </c>
      <c r="G119" s="2">
        <v>6</v>
      </c>
      <c r="H119">
        <v>3.9522333333299998E-2</v>
      </c>
      <c r="I119">
        <v>3.9413999999999998E-2</v>
      </c>
      <c r="J119">
        <v>2592</v>
      </c>
      <c r="K119">
        <v>21025</v>
      </c>
      <c r="M119" s="3">
        <f t="shared" si="3"/>
        <v>1.3705331158765787E-3</v>
      </c>
    </row>
    <row r="120" spans="2:13" x14ac:dyDescent="0.25">
      <c r="B120">
        <v>5</v>
      </c>
      <c r="C120">
        <v>6</v>
      </c>
      <c r="D120" s="2">
        <v>15</v>
      </c>
      <c r="E120" t="s">
        <v>15</v>
      </c>
      <c r="F120" t="s">
        <v>13</v>
      </c>
      <c r="G120" s="2">
        <v>8</v>
      </c>
      <c r="H120">
        <v>6.1613166666699998E-2</v>
      </c>
      <c r="I120">
        <v>6.1543E-2</v>
      </c>
      <c r="J120">
        <v>1800</v>
      </c>
      <c r="K120">
        <v>22801</v>
      </c>
      <c r="M120" s="3">
        <f t="shared" si="3"/>
        <v>5.6941292337373223E-4</v>
      </c>
    </row>
    <row r="121" spans="2:13" x14ac:dyDescent="0.25">
      <c r="B121">
        <v>1</v>
      </c>
      <c r="C121">
        <v>6</v>
      </c>
      <c r="D121" s="2">
        <v>72</v>
      </c>
      <c r="E121" t="s">
        <v>15</v>
      </c>
      <c r="F121" t="s">
        <v>12</v>
      </c>
      <c r="G121" s="2">
        <v>1</v>
      </c>
      <c r="H121">
        <v>1.54893333333E-2</v>
      </c>
      <c r="I121">
        <v>1.541E-2</v>
      </c>
      <c r="J121">
        <v>41472</v>
      </c>
      <c r="K121">
        <v>21025</v>
      </c>
      <c r="M121" s="3">
        <f t="shared" si="3"/>
        <v>2.5609021251238586E-3</v>
      </c>
    </row>
    <row r="122" spans="2:13" x14ac:dyDescent="0.25">
      <c r="B122">
        <v>2</v>
      </c>
      <c r="C122">
        <v>6</v>
      </c>
      <c r="D122" s="2">
        <v>36</v>
      </c>
      <c r="E122" t="s">
        <v>15</v>
      </c>
      <c r="F122" t="s">
        <v>12</v>
      </c>
      <c r="G122" s="2">
        <v>2</v>
      </c>
      <c r="H122">
        <v>2.3952166666700001E-2</v>
      </c>
      <c r="I122">
        <v>2.3778000000000001E-2</v>
      </c>
      <c r="J122">
        <v>10368</v>
      </c>
      <c r="K122">
        <v>21025</v>
      </c>
      <c r="M122" s="3">
        <f t="shared" si="3"/>
        <v>3.635718411690486E-3</v>
      </c>
    </row>
    <row r="123" spans="2:13" x14ac:dyDescent="0.25">
      <c r="B123">
        <v>3</v>
      </c>
      <c r="C123">
        <v>6</v>
      </c>
      <c r="D123" s="2">
        <v>25</v>
      </c>
      <c r="E123" t="s">
        <v>15</v>
      </c>
      <c r="F123" t="s">
        <v>12</v>
      </c>
      <c r="G123" s="2">
        <v>4</v>
      </c>
      <c r="H123">
        <v>3.3401E-2</v>
      </c>
      <c r="I123">
        <v>3.3062000000000001E-2</v>
      </c>
      <c r="J123">
        <v>5000</v>
      </c>
      <c r="K123">
        <v>22801</v>
      </c>
      <c r="M123" s="3">
        <f t="shared" si="3"/>
        <v>5.0746983623244663E-3</v>
      </c>
    </row>
    <row r="124" spans="2:13" x14ac:dyDescent="0.25">
      <c r="B124">
        <v>4</v>
      </c>
      <c r="C124">
        <v>6</v>
      </c>
      <c r="D124" s="2">
        <v>18</v>
      </c>
      <c r="E124" t="s">
        <v>15</v>
      </c>
      <c r="F124" t="s">
        <v>12</v>
      </c>
      <c r="G124" s="2">
        <v>6</v>
      </c>
      <c r="H124">
        <v>5.3283166666700001E-2</v>
      </c>
      <c r="I124">
        <v>5.3244E-2</v>
      </c>
      <c r="J124">
        <v>2592</v>
      </c>
      <c r="K124">
        <v>21025</v>
      </c>
      <c r="M124" s="3">
        <f t="shared" si="3"/>
        <v>3.675332112391011E-4</v>
      </c>
    </row>
    <row r="125" spans="2:13" x14ac:dyDescent="0.25">
      <c r="B125">
        <v>5</v>
      </c>
      <c r="C125">
        <v>6</v>
      </c>
      <c r="D125" s="2">
        <v>15</v>
      </c>
      <c r="E125" t="s">
        <v>15</v>
      </c>
      <c r="F125" t="s">
        <v>12</v>
      </c>
      <c r="G125" s="2">
        <v>8</v>
      </c>
      <c r="H125">
        <v>7.7425333333299998E-2</v>
      </c>
      <c r="I125">
        <v>7.7118999999999993E-2</v>
      </c>
      <c r="J125">
        <v>1800</v>
      </c>
      <c r="K125">
        <v>22801</v>
      </c>
      <c r="M125" s="3">
        <f t="shared" si="3"/>
        <v>1.9782500127012892E-3</v>
      </c>
    </row>
    <row r="126" spans="2:13" x14ac:dyDescent="0.25">
      <c r="B126">
        <v>1</v>
      </c>
      <c r="C126">
        <v>6</v>
      </c>
      <c r="D126" s="2">
        <v>72</v>
      </c>
      <c r="E126" t="s">
        <v>15</v>
      </c>
      <c r="F126" t="s">
        <v>0</v>
      </c>
      <c r="G126" s="2">
        <v>1</v>
      </c>
      <c r="H126">
        <v>1.5145666666699999E-2</v>
      </c>
      <c r="I126">
        <v>1.5084E-2</v>
      </c>
      <c r="J126">
        <v>41472</v>
      </c>
      <c r="K126">
        <v>21025</v>
      </c>
      <c r="M126" s="3">
        <f t="shared" si="3"/>
        <v>2.0357858144198601E-3</v>
      </c>
    </row>
    <row r="127" spans="2:13" x14ac:dyDescent="0.25">
      <c r="B127">
        <v>2</v>
      </c>
      <c r="C127">
        <v>6</v>
      </c>
      <c r="D127" s="2">
        <v>36</v>
      </c>
      <c r="E127" t="s">
        <v>15</v>
      </c>
      <c r="F127" t="s">
        <v>0</v>
      </c>
      <c r="G127" s="2">
        <v>2</v>
      </c>
      <c r="H127">
        <v>3.8319999999999999E-3</v>
      </c>
      <c r="I127">
        <v>3.81E-3</v>
      </c>
      <c r="J127">
        <v>10368</v>
      </c>
      <c r="K127">
        <v>21025</v>
      </c>
      <c r="M127" s="3">
        <f t="shared" si="3"/>
        <v>2.870563674321488E-3</v>
      </c>
    </row>
    <row r="128" spans="2:13" x14ac:dyDescent="0.25">
      <c r="B128">
        <v>3</v>
      </c>
      <c r="C128">
        <v>6</v>
      </c>
      <c r="D128" s="2">
        <v>25</v>
      </c>
      <c r="E128" t="s">
        <v>15</v>
      </c>
      <c r="F128" t="s">
        <v>0</v>
      </c>
      <c r="G128" s="2">
        <v>4</v>
      </c>
      <c r="H128">
        <v>2.5168333333299999E-3</v>
      </c>
      <c r="I128">
        <v>2.5049999999999998E-3</v>
      </c>
      <c r="J128">
        <v>5000</v>
      </c>
      <c r="K128">
        <v>22801</v>
      </c>
      <c r="M128" s="3">
        <f t="shared" si="3"/>
        <v>2.3508376922089362E-3</v>
      </c>
    </row>
    <row r="129" spans="2:13" x14ac:dyDescent="0.25">
      <c r="B129">
        <v>4</v>
      </c>
      <c r="C129">
        <v>6</v>
      </c>
      <c r="D129" s="2">
        <v>18</v>
      </c>
      <c r="E129" t="s">
        <v>15</v>
      </c>
      <c r="F129" t="s">
        <v>0</v>
      </c>
      <c r="G129" s="2">
        <v>6</v>
      </c>
      <c r="H129">
        <v>1.9091666666699999E-3</v>
      </c>
      <c r="I129">
        <v>1.9040000000000001E-3</v>
      </c>
      <c r="J129">
        <v>2592</v>
      </c>
      <c r="K129">
        <v>21025</v>
      </c>
      <c r="M129" s="3">
        <f t="shared" si="3"/>
        <v>1.353120908771054E-3</v>
      </c>
    </row>
    <row r="130" spans="2:13" x14ac:dyDescent="0.25">
      <c r="B130">
        <v>5</v>
      </c>
      <c r="C130">
        <v>6</v>
      </c>
      <c r="D130" s="2">
        <v>15</v>
      </c>
      <c r="E130" t="s">
        <v>15</v>
      </c>
      <c r="F130" t="s">
        <v>0</v>
      </c>
      <c r="G130" s="2">
        <v>8</v>
      </c>
      <c r="H130">
        <v>2.3389999999999999E-3</v>
      </c>
      <c r="I130">
        <v>2.3010000000000001E-3</v>
      </c>
      <c r="J130">
        <v>1800</v>
      </c>
      <c r="K130">
        <v>22801</v>
      </c>
      <c r="M130" s="3">
        <f t="shared" si="3"/>
        <v>8.1231295425395131E-3</v>
      </c>
    </row>
    <row r="131" spans="2:13" x14ac:dyDescent="0.25">
      <c r="B131">
        <v>1</v>
      </c>
      <c r="C131">
        <v>6</v>
      </c>
      <c r="D131" s="2">
        <v>72</v>
      </c>
      <c r="E131" t="s">
        <v>18</v>
      </c>
      <c r="F131" t="s">
        <v>13</v>
      </c>
      <c r="G131" s="2">
        <v>1</v>
      </c>
      <c r="H131">
        <v>1.51895E-2</v>
      </c>
      <c r="I131">
        <v>1.5157E-2</v>
      </c>
      <c r="J131">
        <v>41472</v>
      </c>
      <c r="K131">
        <v>21025</v>
      </c>
      <c r="M131" s="3">
        <f t="shared" si="3"/>
        <v>1.0698179663583246E-3</v>
      </c>
    </row>
    <row r="132" spans="2:13" x14ac:dyDescent="0.25">
      <c r="B132">
        <v>2</v>
      </c>
      <c r="C132">
        <v>6</v>
      </c>
      <c r="D132" s="2">
        <v>36</v>
      </c>
      <c r="E132" t="s">
        <v>18</v>
      </c>
      <c r="F132" t="s">
        <v>13</v>
      </c>
      <c r="G132" s="2">
        <v>2</v>
      </c>
      <c r="H132">
        <v>1.2192833333300001E-2</v>
      </c>
      <c r="I132">
        <v>1.2168E-2</v>
      </c>
      <c r="J132">
        <v>10368</v>
      </c>
      <c r="K132">
        <v>21025</v>
      </c>
      <c r="M132" s="3">
        <f t="shared" si="3"/>
        <v>1.0183577771123126E-3</v>
      </c>
    </row>
    <row r="133" spans="2:13" x14ac:dyDescent="0.25">
      <c r="B133">
        <v>3</v>
      </c>
      <c r="C133">
        <v>6</v>
      </c>
      <c r="D133" s="2">
        <v>25</v>
      </c>
      <c r="E133" t="s">
        <v>18</v>
      </c>
      <c r="F133" t="s">
        <v>13</v>
      </c>
      <c r="G133" s="2">
        <v>4</v>
      </c>
      <c r="H133">
        <v>2.0591000000000002E-2</v>
      </c>
      <c r="I133">
        <v>2.0563999999999999E-2</v>
      </c>
      <c r="J133">
        <v>5000</v>
      </c>
      <c r="K133">
        <v>22801</v>
      </c>
      <c r="M133" s="3">
        <f t="shared" ref="M133:M141" si="4">(H133-I133)/(2*H133)</f>
        <v>6.5562624447580774E-4</v>
      </c>
    </row>
    <row r="134" spans="2:13" x14ac:dyDescent="0.25">
      <c r="B134">
        <v>4</v>
      </c>
      <c r="C134">
        <v>6</v>
      </c>
      <c r="D134" s="2">
        <v>18</v>
      </c>
      <c r="E134" t="s">
        <v>18</v>
      </c>
      <c r="F134" t="s">
        <v>13</v>
      </c>
      <c r="G134" s="2">
        <v>6</v>
      </c>
      <c r="H134">
        <v>3.95205E-2</v>
      </c>
      <c r="I134">
        <v>3.9448999999999998E-2</v>
      </c>
      <c r="J134">
        <v>2592</v>
      </c>
      <c r="K134">
        <v>21025</v>
      </c>
      <c r="M134" s="3">
        <f t="shared" si="4"/>
        <v>9.0459381839807335E-4</v>
      </c>
    </row>
    <row r="135" spans="2:13" x14ac:dyDescent="0.25">
      <c r="B135">
        <v>5</v>
      </c>
      <c r="C135">
        <v>6</v>
      </c>
      <c r="D135" s="2">
        <v>15</v>
      </c>
      <c r="E135" t="s">
        <v>18</v>
      </c>
      <c r="F135" t="s">
        <v>13</v>
      </c>
      <c r="G135" s="2">
        <v>8</v>
      </c>
      <c r="H135">
        <v>6.1575666666700002E-2</v>
      </c>
      <c r="I135">
        <v>6.1421999999999997E-2</v>
      </c>
      <c r="J135">
        <v>1800</v>
      </c>
      <c r="K135">
        <v>22801</v>
      </c>
      <c r="M135" s="3">
        <f t="shared" si="4"/>
        <v>1.2477872755465194E-3</v>
      </c>
    </row>
    <row r="136" spans="2:13" x14ac:dyDescent="0.25">
      <c r="B136">
        <v>1</v>
      </c>
      <c r="C136">
        <v>6</v>
      </c>
      <c r="D136" s="2">
        <v>72</v>
      </c>
      <c r="E136" t="s">
        <v>18</v>
      </c>
      <c r="F136" t="s">
        <v>12</v>
      </c>
      <c r="G136" s="2">
        <v>1</v>
      </c>
      <c r="H136">
        <v>1.5885833333300001E-2</v>
      </c>
      <c r="I136">
        <v>1.5824999999999999E-2</v>
      </c>
      <c r="J136">
        <v>41472</v>
      </c>
      <c r="K136">
        <v>21025</v>
      </c>
      <c r="M136" s="3">
        <f t="shared" si="4"/>
        <v>1.9147038755745543E-3</v>
      </c>
    </row>
    <row r="137" spans="2:13" x14ac:dyDescent="0.25">
      <c r="B137">
        <v>2</v>
      </c>
      <c r="C137">
        <v>6</v>
      </c>
      <c r="D137" s="2">
        <v>36</v>
      </c>
      <c r="E137" t="s">
        <v>18</v>
      </c>
      <c r="F137" t="s">
        <v>12</v>
      </c>
      <c r="G137" s="2">
        <v>2</v>
      </c>
      <c r="H137">
        <v>2.4136833333299999E-2</v>
      </c>
      <c r="I137">
        <v>2.3970000000000002E-2</v>
      </c>
      <c r="J137">
        <v>10368</v>
      </c>
      <c r="K137">
        <v>21025</v>
      </c>
      <c r="M137" s="3">
        <f t="shared" si="4"/>
        <v>3.4559904979297334E-3</v>
      </c>
    </row>
    <row r="138" spans="2:13" x14ac:dyDescent="0.25">
      <c r="B138">
        <v>3</v>
      </c>
      <c r="C138">
        <v>6</v>
      </c>
      <c r="D138" s="2">
        <v>25</v>
      </c>
      <c r="E138" t="s">
        <v>18</v>
      </c>
      <c r="F138" t="s">
        <v>12</v>
      </c>
      <c r="G138" s="2">
        <v>4</v>
      </c>
      <c r="H138">
        <v>3.3474833333300001E-2</v>
      </c>
      <c r="I138">
        <v>3.3360000000000001E-2</v>
      </c>
      <c r="J138">
        <v>5000</v>
      </c>
      <c r="K138">
        <v>22801</v>
      </c>
      <c r="M138" s="3">
        <f t="shared" si="4"/>
        <v>1.71521889529121E-3</v>
      </c>
    </row>
    <row r="139" spans="2:13" x14ac:dyDescent="0.25">
      <c r="B139">
        <v>4</v>
      </c>
      <c r="C139">
        <v>6</v>
      </c>
      <c r="D139" s="2">
        <v>18</v>
      </c>
      <c r="E139" t="s">
        <v>18</v>
      </c>
      <c r="F139" t="s">
        <v>12</v>
      </c>
      <c r="G139" s="2">
        <v>6</v>
      </c>
      <c r="H139">
        <v>5.4023333333299998E-2</v>
      </c>
      <c r="I139">
        <v>5.3851000000000003E-2</v>
      </c>
      <c r="J139">
        <v>2592</v>
      </c>
      <c r="K139">
        <v>21025</v>
      </c>
      <c r="M139" s="3">
        <f t="shared" si="4"/>
        <v>1.5949898189063533E-3</v>
      </c>
    </row>
    <row r="140" spans="2:13" x14ac:dyDescent="0.25">
      <c r="B140">
        <v>5</v>
      </c>
      <c r="C140">
        <v>6</v>
      </c>
      <c r="D140" s="2">
        <v>15</v>
      </c>
      <c r="E140" t="s">
        <v>18</v>
      </c>
      <c r="F140" t="s">
        <v>12</v>
      </c>
      <c r="G140" s="2">
        <v>8</v>
      </c>
      <c r="H140">
        <v>7.7799333333299997E-2</v>
      </c>
      <c r="I140">
        <v>7.7216999999999994E-2</v>
      </c>
      <c r="J140">
        <v>1800</v>
      </c>
      <c r="K140">
        <v>22801</v>
      </c>
      <c r="M140" s="3">
        <f t="shared" si="4"/>
        <v>3.7425342117343714E-3</v>
      </c>
    </row>
    <row r="141" spans="2:13" x14ac:dyDescent="0.25">
      <c r="B141">
        <v>1</v>
      </c>
      <c r="C141">
        <v>6</v>
      </c>
      <c r="D141" s="2">
        <v>72</v>
      </c>
      <c r="E141" t="s">
        <v>18</v>
      </c>
      <c r="F141" t="s">
        <v>0</v>
      </c>
      <c r="G141" s="2">
        <v>1</v>
      </c>
      <c r="H141">
        <v>1.52523333333E-2</v>
      </c>
      <c r="I141">
        <v>1.5216E-2</v>
      </c>
      <c r="J141">
        <v>41472</v>
      </c>
      <c r="K141">
        <v>21025</v>
      </c>
      <c r="M141" s="3">
        <f t="shared" si="4"/>
        <v>1.19107458859014E-3</v>
      </c>
    </row>
    <row r="142" spans="2:13" x14ac:dyDescent="0.25">
      <c r="B142">
        <v>2</v>
      </c>
      <c r="C142">
        <v>6</v>
      </c>
      <c r="D142" s="2">
        <v>36</v>
      </c>
      <c r="E142" t="s">
        <v>18</v>
      </c>
      <c r="F142" t="s">
        <v>0</v>
      </c>
      <c r="G142" s="2">
        <v>2</v>
      </c>
      <c r="H142">
        <v>3.8414999999999999E-3</v>
      </c>
      <c r="I142">
        <v>3.8119999999999999E-3</v>
      </c>
      <c r="J142">
        <v>10368</v>
      </c>
      <c r="K142">
        <v>21025</v>
      </c>
    </row>
    <row r="143" spans="2:13" x14ac:dyDescent="0.25">
      <c r="B143">
        <v>3</v>
      </c>
      <c r="C143">
        <v>6</v>
      </c>
      <c r="D143" s="2">
        <v>25</v>
      </c>
      <c r="E143" t="s">
        <v>18</v>
      </c>
      <c r="F143" t="s">
        <v>0</v>
      </c>
      <c r="G143" s="2">
        <v>4</v>
      </c>
      <c r="H143">
        <v>2.5133333333299999E-3</v>
      </c>
      <c r="I143">
        <v>2.4940000000000001E-3</v>
      </c>
      <c r="J143">
        <v>5000</v>
      </c>
      <c r="K143">
        <v>22801</v>
      </c>
    </row>
    <row r="144" spans="2:13" x14ac:dyDescent="0.25">
      <c r="B144">
        <v>4</v>
      </c>
      <c r="C144">
        <v>6</v>
      </c>
      <c r="D144" s="2">
        <v>18</v>
      </c>
      <c r="E144" t="s">
        <v>18</v>
      </c>
      <c r="F144" t="s">
        <v>0</v>
      </c>
      <c r="G144" s="2">
        <v>6</v>
      </c>
      <c r="H144">
        <v>2.3655E-3</v>
      </c>
      <c r="I144">
        <v>1.897E-3</v>
      </c>
      <c r="J144">
        <v>2592</v>
      </c>
      <c r="K144">
        <v>21025</v>
      </c>
    </row>
    <row r="145" spans="2:11" x14ac:dyDescent="0.25">
      <c r="B145">
        <v>5</v>
      </c>
      <c r="C145">
        <v>6</v>
      </c>
      <c r="D145" s="2">
        <v>15</v>
      </c>
      <c r="E145" t="s">
        <v>18</v>
      </c>
      <c r="F145" t="s">
        <v>0</v>
      </c>
      <c r="G145" s="2">
        <v>8</v>
      </c>
      <c r="H145">
        <v>2.3075000000000001E-3</v>
      </c>
      <c r="I145">
        <v>2.274E-3</v>
      </c>
      <c r="J145">
        <v>1800</v>
      </c>
      <c r="K145">
        <v>22801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Import</vt:lpstr>
      <vt:lpstr>Sheet1</vt:lpstr>
      <vt:lpstr>Integration Method</vt:lpstr>
      <vt:lpstr>Lagrange</vt:lpstr>
      <vt:lpstr>Bezier</vt:lpstr>
      <vt:lpstr>IntegrationMethods</vt:lpstr>
      <vt:lpstr>MainComponentType</vt:lpstr>
      <vt:lpstr>MainMassComponentType</vt:lpstr>
      <vt:lpstr>MassIntegrationMethods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herve Delingette</dc:creator>
  <cp:lastModifiedBy>herve Delingette</cp:lastModifiedBy>
  <dcterms:created xsi:type="dcterms:W3CDTF">2016-09-20T12:35:59Z</dcterms:created>
  <dcterms:modified xsi:type="dcterms:W3CDTF">2016-10-19T06:28:32Z</dcterms:modified>
</cp:coreProperties>
</file>